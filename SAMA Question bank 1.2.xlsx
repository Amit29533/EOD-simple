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Lenovo\Desktop\AnthroPrime\Partners\TNP\SAMA Role\"/>
    </mc:Choice>
  </mc:AlternateContent>
  <xr:revisionPtr revIDLastSave="0" documentId="8_{4D796E32-BF50-4508-897C-CE2A6D921A08}" xr6:coauthVersionLast="47" xr6:coauthVersionMax="47" xr10:uidLastSave="{00000000-0000-0000-0000-000000000000}"/>
  <bookViews>
    <workbookView xWindow="-110" yWindow="-110" windowWidth="19420" windowHeight="10300" xr2:uid="{DD3E76A3-F276-400B-98E7-D3560B8A1EAD}"/>
  </bookViews>
  <sheets>
    <sheet name="Technology Risk Assessment" sheetId="3" r:id="rId1"/>
    <sheet name="Technology Risk Summary"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B27" i="4" l="1"/>
  <c r="B23" i="4"/>
  <c r="B22" i="4"/>
  <c r="B21" i="4" a="1"/>
  <c r="B21" i="4" s="1"/>
  <c r="B20" i="4"/>
  <c r="B19" i="4"/>
  <c r="B18" i="4"/>
  <c r="B17" i="4"/>
  <c r="C14" i="4"/>
  <c r="C13" i="4"/>
  <c r="C12" i="4"/>
  <c r="C11" i="4"/>
  <c r="C10" i="4"/>
  <c r="C9" i="4"/>
  <c r="C8" i="4"/>
  <c r="C7" i="4"/>
  <c r="C6" i="4"/>
  <c r="C5" i="4"/>
  <c r="C4"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<sst xmlns="http://schemas.openxmlformats.org/spreadsheetml/2006/main" count="1461" uniqueCount="425">
  <si>
    <t>Question ID</t>
  </si>
  <si>
    <t>Module ID</t>
  </si>
  <si>
    <t>Type</t>
  </si>
  <si>
    <t>Difficulty 1-5</t>
  </si>
  <si>
    <t>Follow-up Probes</t>
  </si>
  <si>
    <t>Red Flags</t>
  </si>
  <si>
    <t>Gap Tag</t>
  </si>
  <si>
    <t>Enrichment Prescription</t>
  </si>
  <si>
    <t>Suggested Minutes</t>
  </si>
  <si>
    <t>Status</t>
  </si>
  <si>
    <t>Version</t>
  </si>
  <si>
    <t>Question Family</t>
  </si>
  <si>
    <t>Difficulty Band</t>
  </si>
  <si>
    <t>Assessment Mode</t>
  </si>
  <si>
    <t>Randomization Eligible</t>
  </si>
  <si>
    <t>F01</t>
  </si>
  <si>
    <t>Active</t>
  </si>
  <si>
    <t>Intermediate</t>
  </si>
  <si>
    <t>Live assessor</t>
  </si>
  <si>
    <t>Yes</t>
  </si>
  <si>
    <t>Either</t>
  </si>
  <si>
    <t>Objective Question</t>
  </si>
  <si>
    <t>Advanced</t>
  </si>
  <si>
    <t>Online assessment</t>
  </si>
  <si>
    <t>T01</t>
  </si>
  <si>
    <t>Scenario</t>
  </si>
  <si>
    <t>Deep Dive</t>
  </si>
  <si>
    <t>Incident</t>
  </si>
  <si>
    <t>Practical</t>
  </si>
  <si>
    <t>Experience Probe</t>
  </si>
  <si>
    <t>C01</t>
  </si>
  <si>
    <t>Grand Total</t>
  </si>
  <si>
    <t>Expected Evidence (JD-aligned)</t>
  </si>
  <si>
    <t>A01</t>
  </si>
  <si>
    <t>R01</t>
  </si>
  <si>
    <t>D01</t>
  </si>
  <si>
    <t>Question Count</t>
  </si>
  <si>
    <t>Validation Check</t>
  </si>
  <si>
    <t>Question IDs unique</t>
  </si>
  <si>
    <t>Required fields complete</t>
  </si>
  <si>
    <t>Objective answer keys present</t>
  </si>
  <si>
    <t>Assessment modes populated</t>
  </si>
  <si>
    <t>Correct option not longest</t>
  </si>
  <si>
    <t>Objective question count</t>
  </si>
  <si>
    <t>Technology Risk Assessment Question</t>
  </si>
  <si>
    <t>TRC-R01-001</t>
  </si>
  <si>
    <t>The SAMA Cyber Security Framework is organized around which high-level structure?
• A) Four domains covering leadership and governance, risk and compliance, operations and technology, and third-party cybersecurity.
• B) Accept the control owner's statement because the process is documented, then defer operating-effectiveness testing and population validation until the next annual review.
• C) Rely on a successful demonstration or isolated sample and conclude that the control is effective across all systems, users, periods, and regulatory requirements.
• D) Treat the issue as a documentation improvement only, without assessing technical exposure, business impact, likelihood, ownership, or residual risk.</t>
  </si>
  <si>
    <t>Correct answer: A; explain why the other options are weaker and identify the regulatory, technology, or business risk.</t>
  </si>
  <si>
    <t>Four domains covering leadership and governance, risk and compliance, operations and technology, and third-party cybersecurity.</t>
  </si>
  <si>
    <t>Accepts weak or incomplete evidence, confuses documentation with operation, ignores scope or regulatory context, or cannot link the control gap to credible risk.</t>
  </si>
  <si>
    <t>SAMA CSF &amp; Saudi Regulatory Assessment — R01</t>
  </si>
  <si>
    <t>Perform a SAMA CSF control-mapping and evidence-assessment exercise, distinguishing regulatory requirements, implementation evidence, maturity, gaps, and remediation.</t>
  </si>
  <si>
    <t>SAMA CSF &amp; Saudi Regulatory Assessment</t>
  </si>
  <si>
    <t>TRC-R01-002</t>
  </si>
  <si>
    <t>A bank has a cybersecurity policy approved three years ago, but no evidence of periodic review. What is the strongest assessment conclusion?
• A) Rely on a successful demonstration or isolated sample and conclude that the control is effective across all systems, users, periods, and regulatory requirements.
• B) The control design may exist, but operating effectiveness and continued regulatory alignment are not demonstrated.
• C) Treat the issue as a documentation improvement only, without assessing technical exposure, business impact, likelihood, ownership, or residual risk.
• D) Accept the control owner's statement because the process is documented, then defer operating-effectiveness testing and population validation until the next annual review.</t>
  </si>
  <si>
    <t>Correct answer: B; explain why the other options are weaker and identify the regulatory, technology, or business risk.</t>
  </si>
  <si>
    <t>The control design may exist, but operating effectiveness and continued regulatory alignment are not demonstrated.</t>
  </si>
  <si>
    <t>TRC-R01-003</t>
  </si>
  <si>
    <t>What is the most reliable evidence that a SAMA cybersecurity requirement is implemented?
• A) Treat the issue as a documentation improvement only, without assessing technical exposure, business impact, likelihood, ownership, or residual risk.
• B) Accept the control owner's statement because the process is documented, then defer operating-effectiveness testing and population validation until the next annual review.
• C) Consistent policy, procedure, configuration, records, interviews, and sampled operation showing the control works in practice.
• D) Rely on a successful demonstration or isolated sample and conclude that the control is effective across all systems, users, periods, and regulatory requirements.</t>
  </si>
  <si>
    <t>Correct answer: C; explain why the other options are weaker and identify the regulatory, technology, or business risk.</t>
  </si>
  <si>
    <t>Consistent policy, procedure, configuration, records, interviews, and sampled operation showing the control works in practice.</t>
  </si>
  <si>
    <t>TRC-R01-004</t>
  </si>
  <si>
    <t>A control owner provides a policy that repeats the SAMA requirement. What should the assessor do next?
• A) Accept the control owner's statement because the process is documented, then defer operating-effectiveness testing and population validation until the next annual review.
• B) Rely on a successful demonstration or isolated sample and conclude that the control is effective across all systems, users, periods, and regulatory requirements.
• C) Treat the issue as a documentation improvement only, without assessing technical exposure, business impact, likelihood, ownership, or residual risk.
• D) Trace the requirement to procedures, ownership, implementation records, technical evidence, and operating samples.</t>
  </si>
  <si>
    <t>Correct answer: D; explain why the other options are weaker and identify the regulatory, technology, or business risk.</t>
  </si>
  <si>
    <t>Trace the requirement to procedures, ownership, implementation records, technical evidence, and operating samples.</t>
  </si>
  <si>
    <t>TRC-R01-005</t>
  </si>
  <si>
    <t>TRC-R01-006</t>
  </si>
  <si>
    <t>TRC-R01-007</t>
  </si>
  <si>
    <t>Regulatory Scenario</t>
  </si>
  <si>
    <t>Provides generic framework definitions, cannot distinguish design from operation, accepts unsupported assertions, or recommends impractical remediation without owners and evidence.</t>
  </si>
  <si>
    <t>TRC-R01-008</t>
  </si>
  <si>
    <t>Evidence Review</t>
  </si>
  <si>
    <t>TRC-R01-009</t>
  </si>
  <si>
    <t>TRC-R01-010</t>
  </si>
  <si>
    <t>TRC-R02-001</t>
  </si>
  <si>
    <t>R02</t>
  </si>
  <si>
    <t>Which four themes are central to the SAMA IT Governance Framework?
• A) Rely on a successful demonstration or isolated sample and conclude that the control is effective across all systems, users, periods, and regulatory requirements.
• B) Treat the issue as a documentation improvement only, without assessing technical exposure, business impact, likelihood, ownership, or residual risk.
• C) Accept the control owner's statement because the process is documented, then defer operating-effectiveness testing and population validation until the next annual review.
• D) IT governance and leadership, IT risk management, IT operations management, and system change management.</t>
  </si>
  <si>
    <t>IT governance and leadership, IT risk management, IT operations management, and system change management.</t>
  </si>
  <si>
    <t>SAMA ITGF &amp; Technology Governance — R02</t>
  </si>
  <si>
    <t>Map IT governance, IT risk, operations, and system-change practices to SAMA ITGF requirements and prepare a governance improvement plan.</t>
  </si>
  <si>
    <t>SAMA ITGF &amp; Technology Governance</t>
  </si>
  <si>
    <t>TRC-R02-002</t>
  </si>
  <si>
    <t>The IT steering committee meets regularly but does not track decisions or actions. What is the main control concern?
• A) Governance activity occurs, but accountability, follow-through, and evidence of effective oversight are not demonstrated.
• B) Treat the issue as a documentation improvement only, without assessing technical exposure, business impact, likelihood, ownership, or residual risk.
• C) Accept the control owner's statement because the process is documented, then defer operating-effectiveness testing and population validation until the next annual review.
• D) Rely on a successful demonstration or isolated sample and conclude that the control is effective across all systems, users, periods, and regulatory requirements.</t>
  </si>
  <si>
    <t>Governance activity occurs, but accountability, follow-through, and evidence of effective oversight are not demonstrated.</t>
  </si>
  <si>
    <t>TRC-R02-003</t>
  </si>
  <si>
    <t>What best demonstrates effective IT risk governance?
• A) Accept the control owner's statement because the process is documented, then defer operating-effectiveness testing and population validation until the next annual review.
• B) Approved risk appetite, defined ownership, current risk assessments, monitored treatment plans, escalation, and governance reporting.
• C) Rely on a successful demonstration or isolated sample and conclude that the control is effective across all systems, users, periods, and regulatory requirements.
• D) Treat the issue as a documentation improvement only, without assessing technical exposure, business impact, likelihood, ownership, or residual risk.</t>
  </si>
  <si>
    <t>Approved risk appetite, defined ownership, current risk assessments, monitored treatment plans, escalation, and governance reporting.</t>
  </si>
  <si>
    <t>TRC-R02-004</t>
  </si>
  <si>
    <t>An IT strategy exists but is not linked to business objectives or technology risks. What is the likely assessment?
• A) Rely on a successful demonstration or isolated sample and conclude that the control is effective across all systems, users, periods, and regulatory requirements.
• B) Treat the issue as a documentation improvement only, without assessing technical exposure, business impact, likelihood, ownership, or residual risk.
• C) The strategy is incomplete because alignment, risk consideration, prioritization, and measurable execution are not demonstrated.
• D) Accept the control owner's statement because the process is documented, then defer operating-effectiveness testing and population validation until the next annual review.</t>
  </si>
  <si>
    <t>The strategy is incomplete because alignment, risk consideration, prioritization, and measurable execution are not demonstrated.</t>
  </si>
  <si>
    <t>TRC-R02-005</t>
  </si>
  <si>
    <t>TRC-R02-006</t>
  </si>
  <si>
    <t>TRC-R02-007</t>
  </si>
  <si>
    <t>Governance Case</t>
  </si>
  <si>
    <t>TRC-R02-008</t>
  </si>
  <si>
    <t>TRC-R02-009</t>
  </si>
  <si>
    <t>TRC-R02-010</t>
  </si>
  <si>
    <t>TRC-A01-001</t>
  </si>
  <si>
    <t>What is the difference between inherent and residual technology risk?
• A) Treat the issue as a documentation improvement only, without assessing technical exposure, business impact, likelihood, ownership, or residual risk.
• B) Accept the control owner's statement because the process is documented, then defer operating-effectiveness testing and population validation until the next annual review.
• C) Inherent risk exists before controls; residual risk remains after considering control design and operating effectiveness.
• D) Rely on a successful demonstration or isolated sample and conclude that the control is effective across all systems, users, periods, and regulatory requirements.</t>
  </si>
  <si>
    <t>Inherent risk exists before controls; residual risk remains after considering control design and operating effectiveness.</t>
  </si>
  <si>
    <t>Technology Risk &amp; Control Assessment — A01</t>
  </si>
  <si>
    <t>Practise scoping, walkthroughs, design and operating-effectiveness testing, sampling, evidence evaluation, inherent risk, residual risk, and risk-rating calibration.</t>
  </si>
  <si>
    <t>Technology Risk &amp; Control Assessment</t>
  </si>
  <si>
    <t>TRC-A01-002</t>
  </si>
  <si>
    <t>A control is well designed but failed in three of twenty-five samples. What should the assessor do?
• A) Accept the control owner's statement because the process is documented, then defer operating-effectiveness testing and population validation until the next annual review.
• B) Rely on a successful demonstration or isolated sample and conclude that the control is effective across all systems, users, periods, and regulatory requirements.
• C) Treat the issue as a documentation improvement only, without assessing technical exposure, business impact, likelihood, ownership, or residual risk.
• D) Evaluate the exceptions, population, frequency, cause, impact, compensating controls, and whether operation is reliable.</t>
  </si>
  <si>
    <t>Evaluate the exceptions, population, frequency, cause, impact, compensating controls, and whether operation is reliable.</t>
  </si>
  <si>
    <t>TRC-A01-003</t>
  </si>
  <si>
    <t>What best establishes operating effectiveness?
• A) Sufficient appropriate evidence that the control operated consistently, by authorized owners, throughout the assessment period.
• B) Rely on a successful demonstration or isolated sample and conclude that the control is effective across all systems, users, periods, and regulatory requirements.
• C) Treat the issue as a documentation improvement only, without assessing technical exposure, business impact, likelihood, ownership, or residual risk.
• D) Accept the control owner's statement because the process is documented, then defer operating-effectiveness testing and population validation until the next annual review.</t>
  </si>
  <si>
    <t>Sufficient appropriate evidence that the control operated consistently, by authorized owners, throughout the assessment period.</t>
  </si>
  <si>
    <t>TRC-A01-004</t>
  </si>
  <si>
    <t>When should a technology-risk assessment scope be expanded?
• A) Treat the issue as a documentation improvement only, without assessing technical exposure, business impact, likelihood, ownership, or residual risk.
• B) When evidence indicates interconnected systems, shared controls, broader populations, emerging risks, or systemic exceptions outside the initial scope.
• C) Accept the control owner's statement because the process is documented, then defer operating-effectiveness testing and population validation until the next annual review.
• D) Rely on a successful demonstration or isolated sample and conclude that the control is effective across all systems, users, periods, and regulatory requirements.</t>
  </si>
  <si>
    <t>When evidence indicates interconnected systems, shared controls, broader populations, emerging risks, or systemic exceptions outside the initial scope.</t>
  </si>
  <si>
    <t>TRC-A01-005</t>
  </si>
  <si>
    <t>What is the strongest basis for a risk severity rating?
• A) Accept the control owner's statement because the process is documented, then defer operating-effectiveness testing and population validation until the next annual review.
• B) Rely on a successful demonstration or isolated sample and conclude that the control is effective across all systems, users, periods, and regulatory requirements.
• C) A defined method combining credible impact, likelihood, exposure, control effectiveness, asset criticality, and regulatory context.
• D) Treat the issue as a documentation improvement only, without assessing technical exposure, business impact, likelihood, ownership, or residual risk.</t>
  </si>
  <si>
    <t>A defined method combining credible impact, likelihood, exposure, control effectiveness, asset criticality, and regulatory context.</t>
  </si>
  <si>
    <t>TRC-A01-006</t>
  </si>
  <si>
    <t>A control owner presents a successful walkthrough of one transaction. What does this prove?
• A) Rely on a successful demonstration or isolated sample and conclude that the control is effective across all systems, users, periods, and regulatory requirements.
• B) Treat the issue as a documentation improvement only, without assessing technical exposure, business impact, likelihood, ownership, or residual risk.
• C) Accept the control owner's statement because the process is documented, then defer operating-effectiveness testing and population validation until the next annual review.
• D) It supports process understanding and possibly design, but not sustained operating effectiveness across the period.</t>
  </si>
  <si>
    <t>It supports process understanding and possibly design, but not sustained operating effectiveness across the period.</t>
  </si>
  <si>
    <t>TRC-A01-007</t>
  </si>
  <si>
    <t>Assessment Case</t>
  </si>
  <si>
    <t>TRC-A01-008</t>
  </si>
  <si>
    <t>TRC-A01-009</t>
  </si>
  <si>
    <t>TRC-A01-010</t>
  </si>
  <si>
    <t>TRC-I01-001</t>
  </si>
  <si>
    <t>I01</t>
  </si>
  <si>
    <t>Which control most directly supports least privilege?
• A) Accept the control owner's statement because the process is documented, then defer operating-effectiveness testing and population validation until the next annual review.
• B) Role-based access approved by accountable owners and limited to documented need-to-have and need-to-know requirements.
• C) Rely on a successful demonstration or isolated sample and conclude that the control is effective across all systems, users, periods, and regulatory requirements.
• D) Treat the issue as a documentation improvement only, without assessing technical exposure, business impact, likelihood, ownership, or residual risk.</t>
  </si>
  <si>
    <t>Role-based access approved by accountable owners and limited to documented need-to-have and need-to-know requirements.</t>
  </si>
  <si>
    <t>IAM, PAM &amp; Segregation of Duties — I01</t>
  </si>
  <si>
    <t>Assess joiner-mover-leaver, privileged access, service accounts, recertification, authentication, emergency access, SoD, and access-monitoring controls.</t>
  </si>
  <si>
    <t>IAM, PAM &amp; Segregation of Duties</t>
  </si>
  <si>
    <t>TRC-I01-002</t>
  </si>
  <si>
    <t>A quarterly access review contains manager approvals but no entitlement details. What is the key gap?
• A) Rely on a successful demonstration or isolated sample and conclude that the control is effective across all systems, users, periods, and regulatory requirements.
• B) Treat the issue as a documentation improvement only, without assessing technical exposure, business impact, likelihood, ownership, or residual risk.
• C) Reviewers cannot make an informed decision because users, roles, privileges, systems, and conflicts are not sufficiently visible.
• D) Accept the control owner's statement because the process is documented, then defer operating-effectiveness testing and population validation until the next annual review.</t>
  </si>
  <si>
    <t>Reviewers cannot make an informed decision because users, roles, privileges, systems, and conflicts are not sufficiently visible.</t>
  </si>
  <si>
    <t>TRC-I01-003</t>
  </si>
  <si>
    <t>What is the primary risk of shared privileged accounts?
• A) Treat the issue as a documentation improvement only, without assessing technical exposure, business impact, likelihood, ownership, or residual risk.
• B) Accept the control owner's statement because the process is documented, then defer operating-effectiveness testing and population validation until the next annual review.
• C) Rely on a successful demonstration or isolated sample and conclude that the control is effective across all systems, users, periods, and regulatory requirements.
• D) Weak accountability and traceability, excessive access, credential misuse, and difficulty attributing administrative activity.</t>
  </si>
  <si>
    <t>Weak accountability and traceability, excessive access, credential misuse, and difficulty attributing administrative activity.</t>
  </si>
  <si>
    <t>TRC-I01-004</t>
  </si>
  <si>
    <t>An emergency account is permanently enabled and rarely reviewed. What should concern the assessor most?
• A) Standing privileged access bypasses normal controls without time limits, enhanced monitoring, documented use, or prompt review.
• B) Accept the control owner's statement because the process is documented, then defer operating-effectiveness testing and population validation until the next annual review.
• C) Rely on a successful demonstration or isolated sample and conclude that the control is effective across all systems, users, periods, and regulatory requirements.
• D) Treat the issue as a documentation improvement only, without assessing technical exposure, business impact, likelihood, ownership, or residual risk.</t>
  </si>
  <si>
    <t>Standing privileged access bypasses normal controls without time limits, enhanced monitoring, documented use, or prompt review.</t>
  </si>
  <si>
    <t>TRC-I01-005</t>
  </si>
  <si>
    <t>What evidence best supports an effective joiner-mover-leaver process?
• A) Rely on a successful demonstration or isolated sample and conclude that the control is effective across all systems, users, periods, and regulatory requirements.
• B) Timely HR-triggered requests, approvals, provisioning records, role changes, revocation, exceptions, reconciliation, and sampled completion.
• C) Treat the issue as a documentation improvement only, without assessing technical exposure, business impact, likelihood, ownership, or residual risk.
• D) Accept the control owner's statement because the process is documented, then defer operating-effectiveness testing and population validation until the next annual review.</t>
  </si>
  <si>
    <t>Timely HR-triggered requests, approvals, provisioning records, role changes, revocation, exceptions, reconciliation, and sampled completion.</t>
  </si>
  <si>
    <t>TRC-I01-006</t>
  </si>
  <si>
    <t>A service account has an interactive login and a non-expiring password. What is the best conclusion?
• A) Treat the issue as a documentation improvement only, without assessing technical exposure, business impact, likelihood, ownership, or residual risk.
• B) Accept the control owner's statement because the process is documented, then defer operating-effectiveness testing and population validation until the next annual review.
• C) The account is exposed to misuse unless necessity, restrictions, ownership, vaulting, rotation, and monitoring are demonstrated.
• D) Rely on a successful demonstration or isolated sample and conclude that the control is effective across all systems, users, periods, and regulatory requirements.</t>
  </si>
  <si>
    <t>The account is exposed to misuse unless necessity, restrictions, ownership, vaulting, rotation, and monitoring are demonstrated.</t>
  </si>
  <si>
    <t>TRC-I01-007</t>
  </si>
  <si>
    <t>IAM Case</t>
  </si>
  <si>
    <t>TRC-I01-008</t>
  </si>
  <si>
    <t>TRC-I01-009</t>
  </si>
  <si>
    <t>TRC-I01-010</t>
  </si>
  <si>
    <t>Stakeholder Challenge</t>
  </si>
  <si>
    <t>TRC-O01-001</t>
  </si>
  <si>
    <t>O01</t>
  </si>
  <si>
    <t>A critical vulnerability exceeds the patch SLA. What should determine the risk response?
• A) Exploitability, asset criticality, exposure, threat activity, compensating controls, business impact, remediation timing, and formal escalation.
• B) Rely on a successful demonstration or isolated sample and conclude that the control is effective across all systems, users, periods, and regulatory requirements.
• C) Treat the issue as a documentation improvement only, without assessing technical exposure, business impact, likelihood, ownership, or residual risk.
• D) Accept the control owner's statement because the process is documented, then defer operating-effectiveness testing and population validation until the next annual review.</t>
  </si>
  <si>
    <t>Exploitability, asset criticality, exposure, threat activity, compensating controls, business impact, remediation timing, and formal escalation.</t>
  </si>
  <si>
    <t>Infrastructure &amp; Security Operations — O01</t>
  </si>
  <si>
    <t>Assess vulnerability, patching, hardening, network, endpoint, database, logging, monitoring, asset, and security-operations controls using technical evidence.</t>
  </si>
  <si>
    <t>Infrastructure &amp; Security Operations</t>
  </si>
  <si>
    <t>TRC-O01-002</t>
  </si>
  <si>
    <t>What is the strongest evidence that secure configuration standards are effective?
• A) Treat the issue as a documentation improvement only, without assessing technical exposure, business impact, likelihood, ownership, or residual risk.
• B) Approved baselines, automated compliance results, sampled configurations, exception governance, remediation records, and ongoing monitoring.
• C) Accept the control owner's statement because the process is documented, then defer operating-effectiveness testing and population validation until the next annual review.
• D) Rely on a successful demonstration or isolated sample and conclude that the control is effective across all systems, users, periods, and regulatory requirements.</t>
  </si>
  <si>
    <t>Approved baselines, automated compliance results, sampled configurations, exception governance, remediation records, and ongoing monitoring.</t>
  </si>
  <si>
    <t>TRC-O01-003</t>
  </si>
  <si>
    <t>An asset inventory excludes cloud resources created by development teams. What is the primary risk?
• A) Accept the control owner's statement because the process is documented, then defer operating-effectiveness testing and population validation until the next annual review.
• B) Rely on a successful demonstration or isolated sample and conclude that the control is effective across all systems, users, periods, and regulatory requirements.
• C) Unknown assets may lack ownership, hardening, patching, monitoring, data classification, and incident-response coverage.
• D) Treat the issue as a documentation improvement only, without assessing technical exposure, business impact, likelihood, ownership, or residual risk.</t>
  </si>
  <si>
    <t>Unknown assets may lack ownership, hardening, patching, monitoring, data classification, and incident-response coverage.</t>
  </si>
  <si>
    <t>TRC-O01-004</t>
  </si>
  <si>
    <t>What should a vulnerability-management assessment test beyond scan completion?
• A) Rely on a successful demonstration or isolated sample and conclude that the control is effective across all systems, users, periods, and regulatory requirements.
• B) Treat the issue as a documentation improvement only, without assessing technical exposure, business impact, likelihood, ownership, or residual risk.
• C) Accept the control owner's statement because the process is documented, then defer operating-effectiveness testing and population validation until the next annual review.
• D) Coverage, credentialed accuracy, prioritization, ownership, SLA performance, exceptions, remediation validation, and risk escalation.</t>
  </si>
  <si>
    <t>Coverage, credentialed accuracy, prioritization, ownership, SLA performance, exceptions, remediation validation, and risk escalation.</t>
  </si>
  <si>
    <t>TRC-O01-005</t>
  </si>
  <si>
    <t>A SIEM receives logs but alert use cases are not reviewed. What is the main concern?
• A) Logging exists, but detection relevance, coverage, tuning, ownership, response integration, and continued effectiveness are uncertain.
• B) Treat the issue as a documentation improvement only, without assessing technical exposure, business impact, likelihood, ownership, or residual risk.
• C) Accept the control owner's statement because the process is documented, then defer operating-effectiveness testing and population validation until the next annual review.
• D) Rely on a successful demonstration or isolated sample and conclude that the control is effective across all systems, users, periods, and regulatory requirements.</t>
  </si>
  <si>
    <t>Logging exists, but detection relevance, coverage, tuning, ownership, response integration, and continued effectiveness are uncertain.</t>
  </si>
  <si>
    <t>TRC-O01-006</t>
  </si>
  <si>
    <t>A firewall review confirms rules are documented but not business-justified. What is missing?
• A) Accept the control owner's statement because the process is documented, then defer operating-effectiveness testing and population validation until the next annual review.
• B) Current ownership, necessity, source and destination context, service purpose, risk, expiry, and evidence of removal or recertification.
• C) Rely on a successful demonstration or isolated sample and conclude that the control is effective across all systems, users, periods, and regulatory requirements.
• D) Treat the issue as a documentation improvement only, without assessing technical exposure, business impact, likelihood, ownership, or residual risk.</t>
  </si>
  <si>
    <t>Current ownership, necessity, source and destination context, service purpose, risk, expiry, and evidence of removal or recertification.</t>
  </si>
  <si>
    <t>TRC-O01-007</t>
  </si>
  <si>
    <t>Infrastructure Case</t>
  </si>
  <si>
    <t>TRC-O01-008</t>
  </si>
  <si>
    <t>TRC-O01-009</t>
  </si>
  <si>
    <t>TRC-O01-010</t>
  </si>
  <si>
    <t>TRC-D01-001</t>
  </si>
  <si>
    <t>What best demonstrates effective change management?
• A) Treat the issue as a documentation improvement only, without assessing technical exposure, business impact, likelihood, ownership, or residual risk.
• B) Accept the control owner's statement because the process is documented, then defer operating-effectiveness testing and population validation until the next annual review.
• C) Rely on a successful demonstration or isolated sample and conclude that the control is effective across all systems, users, periods, and regulatory requirements.
• D) Authorized, risk-assessed, tested, segregated, documented, scheduled, implemented, validated, and reviewable changes with controlled exceptions.</t>
  </si>
  <si>
    <t>Authorized, risk-assessed, tested, segregated, documented, scheduled, implemented, validated, and reviewable changes with controlled exceptions.</t>
  </si>
  <si>
    <t>Change, SDLC &amp; Application Security — D01</t>
  </si>
  <si>
    <t>Test change, release, emergency change, secure SDLC, code review, application security, production access, and configuration-management controls.</t>
  </si>
  <si>
    <t>Change, SDLC &amp; Application Security</t>
  </si>
  <si>
    <t>TRC-D01-002</t>
  </si>
  <si>
    <t>A developer can approve and deploy their own production change. What is the main risk?
• A) Insufficient segregation enables unauthorized or erroneous changes without independent challenge and accountability.
• B) Accept the control owner's statement because the process is documented, then defer operating-effectiveness testing and population validation until the next annual review.
• C) Rely on a successful demonstration or isolated sample and conclude that the control is effective across all systems, users, periods, and regulatory requirements.
• D) Treat the issue as a documentation improvement only, without assessing technical exposure, business impact, likelihood, ownership, or residual risk.</t>
  </si>
  <si>
    <t>Insufficient segregation enables unauthorized or erroneous changes without independent challenge and accountability.</t>
  </si>
  <si>
    <t>TRC-D01-003</t>
  </si>
  <si>
    <t>What should an emergency-change process include?
• A) Rely on a successful demonstration or isolated sample and conclude that the control is effective across all systems, users, periods, and regulatory requirements.
• B) Defined criteria, authorized approval, limited access, testing where feasible, logging, post-implementation validation, and prompt retrospective review.
• C) Treat the issue as a documentation improvement only, without assessing technical exposure, business impact, likelihood, ownership, or residual risk.
• D) Accept the control owner's statement because the process is documented, then defer operating-effectiveness testing and population validation until the next annual review.</t>
  </si>
  <si>
    <t>Defined criteria, authorized approval, limited access, testing where feasible, logging, post-implementation validation, and prompt retrospective review.</t>
  </si>
  <si>
    <t>TRC-D01-004</t>
  </si>
  <si>
    <t>A penetration test identifies high-risk findings before release. What is the best action?
• A) Treat the issue as a documentation improvement only, without assessing technical exposure, business impact, likelihood, ownership, or residual risk.
• B) Accept the control owner's statement because the process is documented, then defer operating-effectiveness testing and population validation until the next annual review.
• C) Remediate or formally evaluate and approve residual risk with evidence before production, then verify closure.
• D) Rely on a successful demonstration or isolated sample and conclude that the control is effective across all systems, users, periods, and regulatory requirements.</t>
  </si>
  <si>
    <t>Remediate or formally evaluate and approve residual risk with evidence before production, then verify closure.</t>
  </si>
  <si>
    <t>TRC-D01-005</t>
  </si>
  <si>
    <t>What is the strongest evidence of secure SDLC operation?
• A) Accept the control owner's statement because the process is documented, then defer operating-effectiveness testing and population validation until the next annual review.
• B) Rely on a successful demonstration or isolated sample and conclude that the control is effective across all systems, users, periods, and regulatory requirements.
• C) Treat the issue as a documentation improvement only, without assessing technical exposure, business impact, likelihood, ownership, or residual risk.
• D) Security requirements, threat analysis, secure coding, reviews, testing, defect treatment, approvals, release gates, and sampled projects.</t>
  </si>
  <si>
    <t>Security requirements, threat analysis, secure coding, reviews, testing, defect treatment, approvals, release gates, and sampled projects.</t>
  </si>
  <si>
    <t>TRC-D01-006</t>
  </si>
  <si>
    <t>A configuration change is implemented successfully but the CMDB is not updated. What risk remains?
• A) Inaccurate configuration records impair impact analysis, incident response, change planning, ownership, and recovery.
• B) Rely on a successful demonstration or isolated sample and conclude that the control is effective across all systems, users, periods, and regulatory requirements.
• C) Treat the issue as a documentation improvement only, without assessing technical exposure, business impact, likelihood, ownership, or residual risk.
• D) Accept the control owner's statement because the process is documented, then defer operating-effectiveness testing and population validation until the next annual review.</t>
  </si>
  <si>
    <t>Inaccurate configuration records impair impact analysis, incident response, change planning, ownership, and recovery.</t>
  </si>
  <si>
    <t>TRC-D01-007</t>
  </si>
  <si>
    <t>Application Case</t>
  </si>
  <si>
    <t>TRC-D01-008</t>
  </si>
  <si>
    <t>TRC-D01-009</t>
  </si>
  <si>
    <t>TRC-D01-010</t>
  </si>
  <si>
    <t>TRC-B01-001</t>
  </si>
  <si>
    <t>B01</t>
  </si>
  <si>
    <t>What is the purpose of a disaster-recovery test?
• A) Accept the control owner's statement because the process is documented, then defer operating-effectiveness testing and population validation until the next annual review.
• B) Rely on a successful demonstration or isolated sample and conclude that the control is effective across all systems, users, periods, and regulatory requirements.
• C) Demonstrate that critical services can be recovered within approved objectives using workable people, technology, data, dependencies, and procedures.
• D) Treat the issue as a documentation improvement only, without assessing technical exposure, business impact, likelihood, ownership, or residual risk.</t>
  </si>
  <si>
    <t>Demonstrate that critical services can be recovered within approved objectives using workable people, technology, data, dependencies, and procedures.</t>
  </si>
  <si>
    <t>Resilience, Incident &amp; Recovery — B01</t>
  </si>
  <si>
    <t>Evaluate incident response, backup, recovery, availability, BCP, disaster recovery, crisis escalation, recovery objectives, and resilience testing.</t>
  </si>
  <si>
    <t>Resilience, Incident &amp; Recovery</t>
  </si>
  <si>
    <t>TRC-B01-002</t>
  </si>
  <si>
    <t>A backup job reports success but restoration has never been tested. What is the key conclusion?
• A) Rely on a successful demonstration or isolated sample and conclude that the control is effective across all systems, users, periods, and regulatory requirements.
• B) Treat the issue as a documentation improvement only, without assessing technical exposure, business impact, likelihood, ownership, or residual risk.
• C) Accept the control owner's statement because the process is documented, then defer operating-effectiveness testing and population validation until the next annual review.
• D) Backup completion does not demonstrate recoverability, integrity, restoration time, dependency recovery, or operational readiness.</t>
  </si>
  <si>
    <t>Backup completion does not demonstrate recoverability, integrity, restoration time, dependency recovery, or operational readiness.</t>
  </si>
  <si>
    <t>TRC-B01-003</t>
  </si>
  <si>
    <t>What should determine recovery time and recovery point objectives?
• A) Business impact, service criticality, regulatory obligations, customer harm, dependencies, data tolerance, and approved risk appetite.
• B) Treat the issue as a documentation improvement only, without assessing technical exposure, business impact, likelihood, ownership, or residual risk.
• C) Accept the control owner's statement because the process is documented, then defer operating-effectiveness testing and population validation until the next annual review.
• D) Rely on a successful demonstration or isolated sample and conclude that the control is effective across all systems, users, periods, and regulatory requirements.</t>
  </si>
  <si>
    <t>Business impact, service criticality, regulatory obligations, customer harm, dependencies, data tolerance, and approved risk appetite.</t>
  </si>
  <si>
    <t>TRC-B01-004</t>
  </si>
  <si>
    <t>An incident is closed when systems recover, but root cause is not addressed. What risk remains?
• A) Accept the control owner's statement because the process is documented, then defer operating-effectiveness testing and population validation until the next annual review.
• B) The underlying weakness may recur because corrective actions, lessons learned, ownership, and systemic remediation are incomplete.
• C) Rely on a successful demonstration or isolated sample and conclude that the control is effective across all systems, users, periods, and regulatory requirements.
• D) Treat the issue as a documentation improvement only, without assessing technical exposure, business impact, likelihood, ownership, or residual risk.</t>
  </si>
  <si>
    <t>The underlying weakness may recur because corrective actions, lessons learned, ownership, and systemic remediation are incomplete.</t>
  </si>
  <si>
    <t>TRC-B01-005</t>
  </si>
  <si>
    <t>What is the strongest evidence of effective incident escalation?
• A) Rely on a successful demonstration or isolated sample and conclude that the control is effective across all systems, users, periods, and regulatory requirements.
• B) Treat the issue as a documentation improvement only, without assessing technical exposure, business impact, likelihood, ownership, or residual risk.
• C) Defined thresholds applied in actual incidents, timely notification, decision records, regulatory consideration, ownership, and post-incident review.
• D) Accept the control owner's statement because the process is documented, then defer operating-effectiveness testing and population validation until the next annual review.</t>
  </si>
  <si>
    <t>Defined thresholds applied in actual incidents, timely notification, decision records, regulatory consideration, ownership, and post-incident review.</t>
  </si>
  <si>
    <t>TRC-B01-006</t>
  </si>
  <si>
    <t>A DR test excludes a critical third-party interface. What is the main limitation?
• A) Treat the issue as a documentation improvement only, without assessing technical exposure, business impact, likelihood, ownership, or residual risk.
• B) Accept the control owner's statement because the process is documented, then defer operating-effectiveness testing and population validation until the next annual review.
• C) Rely on a successful demonstration or isolated sample and conclude that the control is effective across all systems, users, periods, and regulatory requirements.
• D) End-to-end recovery is unproven because an essential dependency and associated failure scenario were not tested.</t>
  </si>
  <si>
    <t>End-to-end recovery is unproven because an essential dependency and associated failure scenario were not tested.</t>
  </si>
  <si>
    <t>TRC-B01-007</t>
  </si>
  <si>
    <t>Resilience Case</t>
  </si>
  <si>
    <t>TRC-B01-008</t>
  </si>
  <si>
    <t>TRC-B01-009</t>
  </si>
  <si>
    <t>TRC-B01-010</t>
  </si>
  <si>
    <t>TRC-T01-001</t>
  </si>
  <si>
    <t>Who remains accountable for technology risk when a bank outsources a critical service?
• A) Rely on a successful demonstration or isolated sample and conclude that the control is effective across all systems, users, periods, and regulatory requirements.
• B) The bank remains accountable and must conduct due diligence, contract controls, monitoring, risk management, resilience, and exit planning.
• C) Treat the issue as a documentation improvement only, without assessing technical exposure, business impact, likelihood, ownership, or residual risk.
• D) Accept the control owner's statement because the process is documented, then defer operating-effectiveness testing and population validation until the next annual review.</t>
  </si>
  <si>
    <t>The bank remains accountable and must conduct due diligence, contract controls, monitoring, risk management, resilience, and exit planning.</t>
  </si>
  <si>
    <t>Third-Party, Cloud &amp; Data Protection — T01</t>
  </si>
  <si>
    <t>Assess outsourcing, vendor oversight, cloud shared responsibility, concentration, exit planning, data protection, NCA ECC, and Saudi PDPL dependencies.</t>
  </si>
  <si>
    <t>Third-Party, Cloud &amp; Data Protection</t>
  </si>
  <si>
    <t>TRC-T01-002</t>
  </si>
  <si>
    <t>What is the main purpose of a cloud shared-responsibility assessment?
• A) Treat the issue as a documentation improvement only, without assessing technical exposure, business impact, likelihood, ownership, or residual risk.
• B) Accept the control owner's statement because the process is documented, then defer operating-effectiveness testing and population validation until the next annual review.
• C) Clarify which security, compliance, operational, data, and resilience controls belong to the bank, provider, or both.
• D) Rely on a successful demonstration or isolated sample and conclude that the control is effective across all systems, users, periods, and regulatory requirements.</t>
  </si>
  <si>
    <t>Clarify which security, compliance, operational, data, and resilience controls belong to the bank, provider, or both.</t>
  </si>
  <si>
    <t>TRC-T01-003</t>
  </si>
  <si>
    <t>A vendor provides a certification report with several exceptions. What should the bank do?
• A) Accept the control owner's statement because the process is documented, then defer operating-effectiveness testing and population validation until the next annual review.
• B) Rely on a successful demonstration or isolated sample and conclude that the control is effective across all systems, users, periods, and regulatory requirements.
• C) Treat the issue as a documentation improvement only, without assessing technical exposure, business impact, likelihood, ownership, or residual risk.
• D) Assess relevance, period, scope, complementary controls, exceptions, impact, remediation, other evidence, and residual risk.</t>
  </si>
  <si>
    <t>Assess relevance, period, scope, complementary controls, exceptions, impact, remediation, other evidence, and residual risk.</t>
  </si>
  <si>
    <t>TRC-T01-004</t>
  </si>
  <si>
    <t>What best addresses third-party concentration risk?
• A) Identify common providers and dependencies, assess correlated failure impact, establish resilience options, monitor exposure, and plan alternatives.
• B) Rely on a successful demonstration or isolated sample and conclude that the control is effective across all systems, users, periods, and regulatory requirements.
• C) Treat the issue as a documentation improvement only, without assessing technical exposure, business impact, likelihood, ownership, or residual risk.
• D) Accept the control owner's statement because the process is documented, then defer operating-effectiveness testing and population validation until the next annual review.</t>
  </si>
  <si>
    <t>Identify common providers and dependencies, assess correlated failure impact, establish resilience options, monitor exposure, and plan alternatives.</t>
  </si>
  <si>
    <t>TRC-T01-005</t>
  </si>
  <si>
    <t>What should an outsourcing exit plan demonstrate?
• A) Treat the issue as a documentation improvement only, without assessing technical exposure, business impact, likelihood, ownership, or residual risk.
• B) Feasible transition, data return or deletion, continuity, access revocation, dependency migration, ownership, timing, testing, and contractual support.
• C) Accept the control owner's statement because the process is documented, then defer operating-effectiveness testing and population validation until the next annual review.
• D) Rely on a successful demonstration or isolated sample and conclude that the control is effective across all systems, users, periods, and regulatory requirements.</t>
  </si>
  <si>
    <t>Feasible transition, data return or deletion, continuity, access revocation, dependency migration, ownership, timing, testing, and contractual support.</t>
  </si>
  <si>
    <t>TRC-T01-006</t>
  </si>
  <si>
    <t>How should Saudi PDPL considerations appear in a technology-risk review?
• A) Accept the control owner's statement because the process is documented, then defer operating-effectiveness testing and population validation until the next annual review.
• B) Rely on a successful demonstration or isolated sample and conclude that the control is effective across all systems, users, periods, and regulatory requirements.
• C) Assess lawful handling, purpose, minimization, access, security, retention, transfers, rights support, incidents, and accountable data governance.
• D) Treat the issue as a documentation improvement only, without assessing technical exposure, business impact, likelihood, ownership, or residual risk.</t>
  </si>
  <si>
    <t>Assess lawful handling, purpose, minimization, access, security, retention, transfers, rights support, incidents, and accountable data governance.</t>
  </si>
  <si>
    <t>TRC-T01-007</t>
  </si>
  <si>
    <t>Third-Party Case</t>
  </si>
  <si>
    <t>TRC-T01-008</t>
  </si>
  <si>
    <t>TRC-T01-009</t>
  </si>
  <si>
    <t>TRC-T01-010</t>
  </si>
  <si>
    <t>TRC-F01-001</t>
  </si>
  <si>
    <t>Which sequence produces the clearest technology-risk finding?
• A) Requirement, observed condition, evidence, control deficiency, cause, risk event, impact, likelihood, severity, recommendation, owner, and timeline.
• B) Treat the issue as a documentation improvement only, without assessing technical exposure, business impact, likelihood, ownership, or residual risk.
• C) Accept the control owner's statement because the process is documented, then defer operating-effectiveness testing and population validation until the next annual review.
• D) Rely on a successful demonstration or isolated sample and conclude that the control is effective across all systems, users, periods, and regulatory requirements.</t>
  </si>
  <si>
    <t>Requirement, observed condition, evidence, control deficiency, cause, risk event, impact, likelihood, severity, recommendation, owner, and timeline.</t>
  </si>
  <si>
    <t>Findings, Remediation &amp; Closure — F01</t>
  </si>
  <si>
    <t>Write clear findings linking requirement, condition, cause, control gap, risk, impact, likelihood, severity, action, owner, timeline, and closure evidence.</t>
  </si>
  <si>
    <t>Findings, Remediation &amp; Closure</t>
  </si>
  <si>
    <t>TRC-F01-002</t>
  </si>
  <si>
    <t>What is wrong with the statement 'Patch management is weak'?
• A) Accept the control owner's statement because the process is documented, then defer operating-effectiveness testing and population validation until the next annual review.
• B) It lacks requirement, scope, condition, evidence, cause, risk, impact, severity basis, and actionable remediation.
• C) Rely on a successful demonstration or isolated sample and conclude that the control is effective across all systems, users, periods, and regulatory requirements.
• D) Treat the issue as a documentation improvement only, without assessing technical exposure, business impact, likelihood, ownership, or residual risk.</t>
  </si>
  <si>
    <t>It lacks requirement, scope, condition, evidence, cause, risk, impact, severity basis, and actionable remediation.</t>
  </si>
  <si>
    <t>TRC-F01-003</t>
  </si>
  <si>
    <t>A remediation plan says 'improve access controls.' What should the consultant request?
• A) Rely on a successful demonstration or isolated sample and conclude that the control is effective across all systems, users, periods, and regulatory requirements.
• B) Treat the issue as a documentation improvement only, without assessing technical exposure, business impact, likelihood, ownership, or residual risk.
• C) Specific actions addressing root cause, accountable owners, milestones, target dates, dependencies, success criteria, and closure evidence.
• D) Accept the control owner's statement because the process is documented, then defer operating-effectiveness testing and population validation until the next annual review.</t>
  </si>
  <si>
    <t>Specific actions addressing root cause, accountable owners, milestones, target dates, dependencies, success criteria, and closure evidence.</t>
  </si>
  <si>
    <t>TRC-F01-004</t>
  </si>
  <si>
    <t>When can a finding be formally closed?
• A) Treat the issue as a documentation improvement only, without assessing technical exposure, business impact, likelihood, ownership, or residual risk.
• B) Accept the control owner's statement because the process is documented, then defer operating-effectiveness testing and population validation until the next annual review.
• C) Rely on a successful demonstration or isolated sample and conclude that the control is effective across all systems, users, periods, and regulatory requirements.
• D) When sufficient evidence shows approved remediation addresses the underlying deficiency and risk, operates effectively, and covers the required scope.</t>
  </si>
  <si>
    <t>When sufficient evidence shows approved remediation addresses the underlying deficiency and risk, operates effectively, and covers the required scope.</t>
  </si>
  <si>
    <t>TRC-F01-005</t>
  </si>
  <si>
    <t>What should happen when a remediation action is overdue and risk remains high?
• A) Validate status and blockers, update residual risk, escalate through governance, agree recovery actions, and maintain transparent reporting.
• B) Accept the control owner's statement because the process is documented, then defer operating-effectiveness testing and population validation until the next annual review.
• C) Rely on a successful demonstration or isolated sample and conclude that the control is effective across all systems, users, periods, and regulatory requirements.
• D) Treat the issue as a documentation improvement only, without assessing technical exposure, business impact, likelihood, ownership, or residual risk.</t>
  </si>
  <si>
    <t>Validate status and blockers, update residual risk, escalate through governance, agree recovery actions, and maintain transparent reporting.</t>
  </si>
  <si>
    <t>TRC-F01-006</t>
  </si>
  <si>
    <t>A compensating control reduces but does not eliminate the risk. How should this be handled?
• A) Rely on a successful demonstration or isolated sample and conclude that the control is effective across all systems, users, periods, and regulatory requirements.
• B) Assess its design, precision, coverage, operation, sustainability, and residual risk, then obtain authorized risk treatment or acceptance.
• C) Treat the issue as a documentation improvement only, without assessing technical exposure, business impact, likelihood, ownership, or residual risk.
• D) Accept the control owner's statement because the process is documented, then defer operating-effectiveness testing and population validation until the next annual review.</t>
  </si>
  <si>
    <t>Assess its design, precision, coverage, operation, sustainability, and residual risk, then obtain authorized risk treatment or acceptance.</t>
  </si>
  <si>
    <t>TRC-F01-007</t>
  </si>
  <si>
    <t>Finding Writing</t>
  </si>
  <si>
    <t>TRC-F01-008</t>
  </si>
  <si>
    <t>Remediation Case</t>
  </si>
  <si>
    <t>TRC-F01-009</t>
  </si>
  <si>
    <t>Closure Review</t>
  </si>
  <si>
    <t>TRC-F01-010</t>
  </si>
  <si>
    <t>TRC-C01-001</t>
  </si>
  <si>
    <t>Which risk is especially important for critical banking applications?
• A) Accept the control owner's statement because the process is documented, then defer operating-effectiveness testing and population validation until the next annual review.
• B) Rely on a successful demonstration or isolated sample and conclude that the control is effective across all systems, users, periods, and regulatory requirements.
• C) Treat the issue as a documentation improvement only, without assessing technical exposure, business impact, likelihood, ownership, or residual risk.
• D) Loss of availability, integrity, confidentiality, or controlled change that disrupts customer, payment, financial, or regulatory obligations.</t>
  </si>
  <si>
    <t>Loss of availability, integrity, confidentiality, or controlled change that disrupts customer, payment, financial, or regulatory obligations.</t>
  </si>
  <si>
    <t>Banking, Reporting &amp; Client Management — C01</t>
  </si>
  <si>
    <t>Practise banking-risk scenarios, stakeholder interviews, constructive challenge, senior reporting, dashboards, issue escalation, and governance presentations.</t>
  </si>
  <si>
    <t>Banking, Reporting &amp; Client Management</t>
  </si>
  <si>
    <t>TRC-C01-002</t>
  </si>
  <si>
    <t>What makes a technology-risk report useful to senior management?
• A) Clear risk themes, business impact, severity, ownership, ageing, trends, overdue actions, decisions required, and concise supporting evidence.
• B) Rely on a successful demonstration or isolated sample and conclude that the control is effective across all systems, users, periods, and regulatory requirements.
• C) Treat the issue as a documentation improvement only, without assessing technical exposure, business impact, likelihood, ownership, or residual risk.
• D) Accept the control owner's statement because the process is documented, then defer operating-effectiveness testing and population validation until the next annual review.</t>
  </si>
  <si>
    <t>Clear risk themes, business impact, severity, ownership, ageing, trends, overdue actions, decisions required, and concise supporting evidence.</t>
  </si>
  <si>
    <t>TRC-C01-003</t>
  </si>
  <si>
    <t>A control owner becomes defensive during an interview. What is the best response?
• A) Treat the issue as a documentation improvement only, without assessing technical exposure, business impact, likelihood, ownership, or residual risk.
• B) Clarify the objective, use evidence-based questions, acknowledge operational context, distinguish facts from conclusions, and agree follow-up evidence.
• C) Accept the control owner's statement because the process is documented, then defer operating-effectiveness testing and population validation until the next annual review.
• D) Rely on a successful demonstration or isolated sample and conclude that the control is effective across all systems, users, periods, and regulatory requirements.</t>
  </si>
  <si>
    <t>Clarify the objective, use evidence-based questions, acknowledge operational context, distinguish facts from conclusions, and agree follow-up evidence.</t>
  </si>
  <si>
    <t>TRC-C01-004</t>
  </si>
  <si>
    <t>What should a remediation dashboard highlight first?
• A) Accept the control owner's statement because the process is documented, then defer operating-effectiveness testing and population validation until the next annual review.
• B) Rely on a successful demonstration or isolated sample and conclude that the control is effective across all systems, users, periods, and regulatory requirements.
• C) Critical and high risks, overdue milestones, stalled actions, repeat issues, systemic themes, residual exposure, and decisions requiring escalation.
• D) Treat the issue as a documentation improvement only, without assessing technical exposure, business impact, likelihood, ownership, or residual risk.</t>
  </si>
  <si>
    <t>Critical and high risks, overdue milestones, stalled actions, repeat issues, systemic themes, residual exposure, and decisions requiring escalation.</t>
  </si>
  <si>
    <t>TRC-C01-005</t>
  </si>
  <si>
    <t>How should recurring findings across applications be reported?
• A) Rely on a successful demonstration or isolated sample and conclude that the control is effective across all systems, users, periods, and regulatory requirements.
• B) Treat the issue as a documentation improvement only, without assessing technical exposure, business impact, likelihood, ownership, or residual risk.
• C) Accept the control owner's statement because the process is documented, then defer operating-effectiveness testing and population validation until the next annual review.
• D) Aggregate them into a systemic risk theme while retaining asset-level evidence, ownership, root causes, and remediation accountability.</t>
  </si>
  <si>
    <t>Aggregate them into a systemic risk theme while retaining asset-level evidence, ownership, root causes, and remediation accountability.</t>
  </si>
  <si>
    <t>TRC-C01-006</t>
  </si>
  <si>
    <t>What is the best way to challenge a technically complex control explanation?
• A) Restate the risk objective, trace the process and evidence, test assumptions, ask for demonstrations, and confirm conclusions with the owner.
• B) Treat the issue as a documentation improvement only, without assessing technical exposure, business impact, likelihood, ownership, or residual risk.
• C) Accept the control owner's statement because the process is documented, then defer operating-effectiveness testing and population validation until the next annual review.
• D) Rely on a successful demonstration or isolated sample and conclude that the control is effective across all systems, users, periods, and regulatory requirements.</t>
  </si>
  <si>
    <t>Restate the risk objective, trace the process and evidence, test assumptions, ask for demonstrations, and confirm conclusions with the owner.</t>
  </si>
  <si>
    <t>TRC-C01-007</t>
  </si>
  <si>
    <t>Client Simulation</t>
  </si>
  <si>
    <t>TRC-C01-008</t>
  </si>
  <si>
    <t>Banking Case</t>
  </si>
  <si>
    <t>TRC-C01-009</t>
  </si>
  <si>
    <t>Reporting Practical</t>
  </si>
  <si>
    <t>TRC-C01-010</t>
  </si>
  <si>
    <t>Technology Risk Consultant Assessment</t>
  </si>
  <si>
    <t>SAMA-focused banking technology-risk question bank | 100 questions | Version 1.0</t>
  </si>
  <si>
    <t>Assessment Domain</t>
  </si>
  <si>
    <t>Primary Regulatory Focus</t>
  </si>
  <si>
    <t>SAMA CSF and SAMA ITGF; NCA ECC and Saudi PDPL treated as complementary requirements</t>
  </si>
  <si>
    <t>Assessment Design</t>
  </si>
  <si>
    <t>60 objective questions and 40 scenario, evidence-review, practical, client-facing, and experience questions</t>
  </si>
  <si>
    <t>When mapping a SAMA CSF requirement to NIST CSF 2.0 and ISO/IEC 27001, what is the strongest assessment approach?
• A) Treat a NIST Function or ISO control with similar wording as automatically equivalent, then close the SAMA requirement without checking regulatory scope, mandatory language, implementation evidence, or operating effectiveness
• B) Map the SAMA requirement to related NIST outcomes and ISO requirements or controls, document partial and full coverage, identify differences, and test evidence against the original SAMA obligation
• C) Replace the detailed SAMA assessment with the organization's NIST profile because an outcomes-based framework can be used as direct proof of every Saudi regulatory control and maturity expectation
• D) Accept ISO/IEC 27001 certification as complete evidence of SAMA compliance, without reviewing the certification scope, Statement of Applicability, exclusions, control operation, or bank-specific regulatory requirements</t>
  </si>
  <si>
    <t>Correct answer: B; explain why framework similarity is not regulatory equivalence and how coverage differences should be documented.</t>
  </si>
  <si>
    <t>Map at requirement or outcome level, preserve the original SAMA obligation, document one-to-many or partial relationships, identify gaps, and test actual control design and operation.</t>
  </si>
  <si>
    <t>Assumes certification or high-level framework alignment proves SAMA compliance, ignores scope and exclusions, or forces one-to-one mappings where requirements differ.</t>
  </si>
  <si>
    <t>A Saudi bank is ISO/IEC 27001 certified and uses NIST CSF 2.0 for cybersecurity reporting. What can the Technology Risk Consultant conclude about SAMA CSF compliance?
• A) The bank is automatically compliant because ISO certification and NIST reporting together replace the need for SAMA-specific control testing, maturity assessment, regulatory evidence, and bank-scope validation
• B) The frameworks may provide reusable controls and evidence, but the consultant must still map and test each applicable SAMA requirement, scope difference, maturity expectation, and regulatory gap
• C) Only the NIST Govern Function requires review because the remaining NIST Functions and ISO controls can be assumed to satisfy SAMA operations, technology, and third-party requirements without additional evidence
• D) The certification can be accepted if it covers headquarters, even when critical banking applications, outsourced services, branches, cloud environments, or supporting technology processes are outside its audited scope</t>
  </si>
  <si>
    <t>Correct answer: B; explain the difference between management-system certification, risk-framework outcomes, and SAMA regulatory compliance.</t>
  </si>
  <si>
    <t>ISO certification and NIST alignment may support evidence and control maturity, but neither removes the need for SAMA-specific applicability, mapping, scope, evidence, testing, and gap conclusions.</t>
  </si>
  <si>
    <t>Treats ISO certification or NIST adoption as a substitute for SAMA assessment, ignores certification scope, or fails to test bank-specific controls and regulatory requirements.</t>
  </si>
  <si>
    <t>Produces a superficial keyword match, assumes one-to-one equivalence, loses the original SAMA obligation, or cannot identify partial coverage and additional evidence required.</t>
  </si>
  <si>
    <t>Correct answer: A; explain why mapping supports integrated assurance but does not change the authority or scope of SAMA ITGF.</t>
  </si>
  <si>
    <t>Use NIST and ISO to identify related outcomes, governance processes, and reusable evidence, while testing ITGF's specific governance, risk, operations, change, and maturity requirements directly.</t>
  </si>
  <si>
    <t>Maps ITGF only to technical safeguards, substitutes certification for governance testing, or rejects useful cross-framework traceability and evidence reuse.</t>
  </si>
  <si>
    <t>Correct answer: B; explain the importance of many-to-many mappings, version control, common controls, and retained regulatory traceability.</t>
  </si>
  <si>
    <t>A governed, version-controlled, many-to-many crosswalk with source IDs, mapping rationale, coverage level, common-control links, evidence, gaps, owners, and change review.</t>
  </si>
  <si>
    <t>Uses keyword-only or forced one-to-one mappings, treats mapping as implementation evidence, or creates duplicated assessments without controlled evidence reuse.</t>
  </si>
  <si>
    <t>Uses NIST or ISO as a replacement checklist, ignores ITGF maturity and mandatory requirements, or cannot demonstrate how evidence supports each original regulatory obligation.</t>
  </si>
  <si>
    <t>SAMA–NIST–ISO mapping coverage</t>
  </si>
  <si>
    <t>Cross-Framework Coverage</t>
  </si>
  <si>
    <t>SAMA CSF and ITGF mapped to NIST CSF 2.0 and ISO/IEC 27001, with regulatory traceability, partial coverage, evidence reuse, and gap testing</t>
  </si>
  <si>
    <t>How should SAMA ITGF requirements be related to NIST CSF 2.0 and ISO/IEC 27001 during a technology-governance assessment?
• A) Map ITGF governance, risk, operations, and change requirements to relevant NIST outcomes and ISO management-system or control requirements, while retaining ITGF as the authoritative requirement and documenting coverage differences
• B) Map every ITGF requirement only to the NIST Protect Function because IT governance, risk, operations, architecture, change, availability, and project oversight are all technical safeguards rather than governance outcomes
• C) Replace ITGF testing with an ISO/IEC 27001 certificate whenever the certification includes an IT department, without reviewing governance committees, IT strategy, enterprise architecture, operations, change, maturity evidence, control ownership, or decision accountability
• D) Avoid cross-framework mapping because any relationship between regulatory requirements, outcome frameworks, and management-system standards creates duplicate controls and prevents evidence from being reused efficiently</t>
  </si>
  <si>
    <t>What is the best design for a sustainable SAMA–NIST–ISO control crosswalk?
• A) A fixed spreadsheet linking each SAMA requirement to exactly one NIST Function and one ISO control, with no coverage rationale, version ownership, evidence references, or process for framework updates
• B) A version-controlled many-to-many mapping that retains source identifiers, describes coverage and gaps, links common controls and evidence, identifies owners, and is reviewed when regulations, standards, or systems change
• C) A list of common cybersecurity terms showing that the frameworks discuss similar topics, used as sufficient evidence that all regulatory requirements are implemented and operating effectively across the bank, its critical applications, infrastructure, cloud services, and outsourced technology processes
• D) Separate assessments with no shared control library or evidence references, requiring each team to request identical documents and samples even when the underlying control and scope are demonstrably the same</t>
  </si>
  <si>
    <t>In two minutes, name the first three steps you would take to start a SAMA CSF assessment where control ownership is unclear.</t>
  </si>
  <si>
    <t>Answer structure: conclusion or priority; supporting risk or evidence; practical next action.</t>
  </si>
  <si>
    <t>Three prioritized steps: confirm scope and requirements, identify accountable owners, and issue a focused evidence and interview request.</t>
  </si>
  <si>
    <t>A control owner gives you a policy, one screenshot, and verbal confirmation. In two minutes, state whether this is sufficient and the two most important additional items you need.</t>
  </si>
  <si>
    <t>Clear sufficiency conclusion plus two high-value evidence requests addressing implementation, operating period, population, and corroboration.</t>
  </si>
  <si>
    <t>Choose one control area. In two minutes, explain how you would map SAMA CSF to NIST CSF 2.0 and ISO/IEC 27001 without treating them as equivalent.</t>
  </si>
  <si>
    <t>Preserves the SAMA requirement, identifies related NIST and ISO references, states whether coverage is full or partial, and names one remaining evidence or gap check.</t>
  </si>
  <si>
    <t>In two minutes, summarize one regulatory assessment you delivered: scope, one key test, one finding, and the outcome.</t>
  </si>
  <si>
    <t>Concise personal example covering scope, evidence-based testing, a material finding, and remediation or management outcome.</t>
  </si>
  <si>
    <t>CIO, CISO, risk, and business roles overlap. In two minutes, identify the two biggest governance risks and one practical fix.</t>
  </si>
  <si>
    <t>Two credible accountability or independence risks and one workable governance improvement with clear ownership.</t>
  </si>
  <si>
    <t>A bank has many overdue IT risks accepted by operational managers. In two minutes, state your top three concerns and immediate escalation action.</t>
  </si>
  <si>
    <t>Focuses on acceptance authority, ageing and aggregation, risk appetite or residual exposure, and a clear governance escalation.</t>
  </si>
  <si>
    <t>In two minutes, explain one practical method for mapping SAMA ITGF to NIST CSF 2.0 and ISO/IEC 27001 while keeping SAMA as the assessment authority.</t>
  </si>
  <si>
    <t>Explains requirement-level traceability, related NIST and ISO coverage, common evidence reuse, one maturity check, and explicit residual gaps.</t>
  </si>
  <si>
    <t>In two minutes, describe one technology-governance weakness, the resulting business risk, and your recommendation.</t>
  </si>
  <si>
    <t>Clearly separates the control weakness from the risk event and business impact, then gives a practical recommendation.</t>
  </si>
  <si>
    <t>For a critical mobile-banking application, what are the three highest-priority areas you would assess first, and why?</t>
  </si>
  <si>
    <t>Three risk-based priorities linked to application criticality, such as access, change, resilience, security operations, or third-party dependencies.</t>
  </si>
  <si>
    <t>A control runs monthly, while another is automated daily. In two minutes, explain how your testing approach would differ.</t>
  </si>
  <si>
    <t>Addresses monthly sample coverage and daily automated-control logic, configuration, change control, population completeness, and exception review.</t>
  </si>
  <si>
    <t>An evidence spreadsheet has no owner, date, source, or reconciliation. In two minutes, state your conclusion and next two actions.</t>
  </si>
  <si>
    <t>Concludes the evidence is unreliable or incomplete and requests source validation plus corroborating or reconstructed evidence.</t>
  </si>
  <si>
    <t>In two minutes, give three tests you would apply before accepting a compensating control.</t>
  </si>
  <si>
    <t>Tests whether it addresses the same risk, has adequate coverage and precision, operates reliably, and leaves acceptable residual risk.</t>
  </si>
  <si>
    <t>For core banking, name the three IAM or PAM controls you would test first and the evidence you would request.</t>
  </si>
  <si>
    <t>Prioritizes high-risk controls such as privileged vaulting and monitoring, access lifecycle, recertification, MFA, SoD, or emergency access with concrete evidence.</t>
  </si>
  <si>
    <t>A terminated administrator accessed production two days later. In two minutes, state your first three investigation steps.</t>
  </si>
  <si>
    <t>Covers containment, identity and revocation timeline, access path and session evidence, impact assessment, and broader population testing.</t>
  </si>
  <si>
    <t>For a user-access review covering twenty applications, state three tests that determine whether the review is effective.</t>
  </si>
  <si>
    <t>Population completeness, informed and accountable reviewers, entitlement or SoD visibility, timely completion, removals, and exception follow-up.</t>
  </si>
  <si>
    <t>A leader says trusted administrators do not need PAM. In two minutes, give your risk response and one pragmatic implementation option.</t>
  </si>
  <si>
    <t>Explains accountability and credential risks, then proposes a proportionate PAM or compensating-control path.</t>
  </si>
  <si>
    <t>For digital banking infrastructure, name the three security-control areas you would test first and justify the priorities.</t>
  </si>
  <si>
    <t>Three risk-based areas such as vulnerability and patching, segmentation, endpoint or database security, logging, cloud controls, or asset coverage.</t>
  </si>
  <si>
    <t>In two minutes, give three tests that show patch management is effective across different technology types.</t>
  </si>
  <si>
    <t>Addresses population coverage, risk-based SLAs, deployment and failure evidence, exceptions, unsupported assets, and remediation validation.</t>
  </si>
  <si>
    <t>Ransomware reveals missing endpoint agents on several servers. State the likely control failure, one immediate action, and one preventive fix.</t>
  </si>
  <si>
    <t>Identifies inventory or coverage monitoring failure, contains exposure, and proposes reconciliation, health monitoring, ownership, and alerting improvement.</t>
  </si>
  <si>
    <t>In two minutes, name three pieces of evidence that prove network segmentation works in practice.</t>
  </si>
  <si>
    <t>Uses configurations and rules, traffic or route testing, monitoring logs, denied-path evidence, and controlled exceptions rather than diagrams alone.</t>
  </si>
  <si>
    <t>For an internet-facing banking application, name the three SDLC or release controls you would test first.</t>
  </si>
  <si>
    <t>Prioritizes security requirements or threat analysis, code and dependency testing, segregation and approvals, vulnerability closure, and controlled deployment.</t>
  </si>
  <si>
    <t>An emergency change causes a two-hour outage. In two minutes, identify the two key control failures and one corrective action.</t>
  </si>
  <si>
    <t>Evidence-based failures involving authorization, testing, rollback, monitoring, or post-review, plus one sustainable corrective action.</t>
  </si>
  <si>
    <t>For a six-month change population, state how you would select and test normal and emergency changes in two minutes.</t>
  </si>
  <si>
    <t>Risk-based population and sample selection with tests for approval, testing, segregation, implementation, rollback, validation, and retrospective review.</t>
  </si>
  <si>
    <t>A team wants security review only after release. In two minutes, explain the risk and propose one delivery-friendly alternative.</t>
  </si>
  <si>
    <t>Explains late defect and residual-risk exposure and proposes early, risk-based, or automated security gates with controlled exceptions.</t>
  </si>
  <si>
    <t>For core banking and payments, identify the three resilience capabilities you would test first.</t>
  </si>
  <si>
    <t>Prioritizes critical services and dependencies, high availability, backup and recovery, RTO or RPO, incident command, capacity, or end-to-end testing.</t>
  </si>
  <si>
    <t>A DR test recovers the service but misses the approved RTO. State your conclusion and the next two actions.</t>
  </si>
  <si>
    <t>Recognizes the objective failure, assesses impact and cause, requires remediation or risk acceptance, and calls for a targeted retest.</t>
  </si>
  <si>
    <t>A payment outage occurs at peak time. In two minutes, name the first three areas you would assess after service stabilization.</t>
  </si>
  <si>
    <t>Focuses on timeline and impact, detection and escalation, triggering change or capacity issue, dependencies, recovery performance, and regulatory considerations.</t>
  </si>
  <si>
    <t>In two minutes, name three tests that demonstrate a critical database backup is recoverable.</t>
  </si>
  <si>
    <t>Covers backup scope and monitoring, protected retention and access, restoration and integrity testing, and achievement of RPO or RTO.</t>
  </si>
  <si>
    <t>For a cloud provider hosting customer-facing banking workloads, name the three due-diligence areas you would prioritize.</t>
  </si>
  <si>
    <t>Prioritizes regulatory and data requirements, shared responsibility and security, resilience and incidents, subcontractors, assurance, concentration, or exit.</t>
  </si>
  <si>
    <t>A vendor gives an expired audit report and says all issues are fixed. State your conclusion and two additional evidence requests.</t>
  </si>
  <si>
    <t>Identifies the assurance-period and closure limitations and requests current independent evidence, issue validation, or complementary-control testing.</t>
  </si>
  <si>
    <t>Name the three indicators you would put on a dashboard for ongoing monitoring of critical technology vendors.</t>
  </si>
  <si>
    <t>Selects risk-relevant indicators such as incidents and SLA performance, control issues, vulnerabilities, resilience tests, concentration, changes, or assurance status.</t>
  </si>
  <si>
    <t>In two minutes, explain one way NCA ECC and one way Saudi PDPL add to a SAMA-focused assessment.</t>
  </si>
  <si>
    <t>Gives one relevant cybersecurity-control contribution and one privacy or personal-data contribution while stating they do not replace SAMA testing.</t>
  </si>
  <si>
    <t>In two minutes, state the five essential elements of a finding for excessive privileged access.</t>
  </si>
  <si>
    <t>Includes requirement or criterion, evidenced condition, risk and impact, severity rationale, and practical remediation with ownership and timeline.</t>
  </si>
  <si>
    <t>Training is proposed for a recurring technical access failure. State why this may be insufficient and name one root-cause action.</t>
  </si>
  <si>
    <t>Distinguishes awareness from a technical or process cause and proposes a preventive, detective, automated, ownership, or workflow control.</t>
  </si>
  <si>
    <t>A new policy and screenshot are submitted to close a vulnerability finding. State your decision and the two strongest closure tests.</t>
  </si>
  <si>
    <t>Rejects unsupported closure and tests complete remediation scope plus operating evidence such as rescans, backlog status, exceptions, and sustained metrics.</t>
  </si>
  <si>
    <t>A manager disputes a high-risk rating because no incident occurred. In two minutes, explain the rating using three risk factors.</t>
  </si>
  <si>
    <t>Uses credible likelihood, impact, exposure, asset criticality, threat activity, control weakness, regulatory context, and method rather than incident history alone.</t>
  </si>
  <si>
    <t>A CIO says the assessment is slowing delivery. In two minutes, respond with the risk rationale and one practical path forward.</t>
  </si>
  <si>
    <t>Constructive response linking evidence and business impact to prioritized, proportionate remediation or controlled risk acceptance.</t>
  </si>
  <si>
    <t>For a core-banking upgrade with several vendors, name the three go-live risks you would prioritize.</t>
  </si>
  <si>
    <t>Prioritizes areas such as data migration, integration and vendors, access, testing and defects, resilience, cutover and rollback, regulatory readiness, or ownership.</t>
  </si>
  <si>
    <t>Name the five metrics you would show first on a monthly technology-risk dashboard for senior management.</t>
  </si>
  <si>
    <t>Prioritizes critical and high risks, ageing and overdue actions, risk trends, repeat or systemic issues, regulatory gaps, ownership, and decisions needed.</t>
  </si>
  <si>
    <t>In two minutes, describe one difficult finding using four points: issue, risk, challenge, and outcome.</t>
  </si>
  <si>
    <t>A concise personal example showing technical credibility, clear business-risk translation, constructive challenge, and remediation or governance outcome.</t>
  </si>
  <si>
    <t>Open-response timing</t>
  </si>
  <si>
    <t>Open-response design</t>
  </si>
  <si>
    <t>Bounded prompts require a conclusion, 2–5 prioritized points, and one practical next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</si>
</sst>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rlito"/>
    </font>
    <font>
      <b/>
      <sz val="11"/>
      <color rgb="FFFFFFFF"/>
      <name val="Aptos Display"/>
      <family val="2"/>
    </font>
    <font>
      <sz val="10"/>
      <color rgb="FF000000"/>
      <name val="Aptos"/>
      <family val="2"/>
    </font>
    <font>
      <b/>
      <sz val="10"/>
      <color rgb="FF5F497A"/>
      <name val="Aptos"/>
      <family val="2"/>
    </font>
    <font>
      <sz val="10"/>
      <name val="Aptos"/>
      <family val="2"/>
    </font>
    <font>
      <b/>
      <sz val="10"/>
      <color rgb="FF1F4E78"/>
      <name val="Aptos"/>
      <family val="2"/>
    </font>
    <font>
      <b/>
      <sz val="10"/>
      <color rgb="FF7F6000"/>
      <name val="Aptos"/>
      <family val="2"/>
    </font>
    <font>
      <b/>
      <sz val="10"/>
      <color rgb="FF375623"/>
      <name val="Aptos"/>
      <family val="2"/>
    </font>
    <font>
      <b/>
      <sz val="11"/>
      <color rgb="FFFFFFFF"/>
      <name val="Carlito"/>
    </font>
    <font>
      <b/>
      <sz val="11"/>
      <name val="Carlito"/>
    </font>
    <font>
      <b/>
      <sz val="11"/>
      <color rgb="FF008000"/>
      <name val="Carlito"/>
    </font>
    <font>
      <b/>
      <sz val="14"/>
      <color rgb="FFFFFFFF"/>
      <name val="Carlito"/>
    </font>
    <font>
      <b/>
      <sz val="11"/>
      <color rgb="FF000000"/>
      <name val="Carlito"/>
    </font>
  </fonts>
  <fills count="11">
    <fill>
      <patternFill patternType="none"/>
    </fill>
    <fill>
      <patternFill patternType="gray125"/>
    </fill>
    <fill>
      <patternFill patternType="solid">
        <fgColor rgb="FF1F4E78"/>
        <bgColor indexed="64"/>
      </patternFill>
    </fill>
    <fill>
      <patternFill patternType="solid">
        <fgColor rgb="FFE4DFEC"/>
        <bgColor indexed="64"/>
      </patternFill>
    </fill>
    <fill>
      <patternFill patternType="solid">
        <fgColor rgb="FFD9EAF7"/>
        <bgColor indexed="64"/>
      </patternFill>
    </fill>
    <fill>
      <patternFill patternType="solid">
        <fgColor rgb="FFFCE4C3"/>
        <bgColor indexed="64"/>
      </patternFill>
    </fill>
    <fill>
      <patternFill patternType="solid">
        <fgColor rgb="FFE2F0D9"/>
        <bgColor indexed="64"/>
      </patternFill>
    </fill>
    <fill>
      <patternFill patternType="solid">
        <fgColor rgb="FF1D2330"/>
        <bgColor indexed="64"/>
      </patternFill>
    </fill>
    <fill>
      <patternFill patternType="solid">
        <fgColor rgb="FFE2E3E5"/>
        <bgColor indexed="64"/>
      </patternFill>
    </fill>
    <fill>
      <patternFill patternType="solid">
        <fgColor rgb="FF2F75B5"/>
        <bgColor indexed="64"/>
      </patternFill>
    </fill>
    <fill>
      <patternFill patternType="solid">
        <fgColor rgb="FFFFFFFF"/>
        <bgColor indexed="64"/>
      </patternFill>
    </fill>
  </fills>
  <borders count="9">
    <border>
      <left/>
      <right/>
      <top/>
      <bottom/>
      <diagonal/>
    </border>
    <border>
      <left/>
      <right/>
      <top style="medium">
        <color rgb="FF4472C4"/>
      </top>
      <bottom/>
      <diagonal/>
    </border>
    <border>
      <left/>
      <right/>
      <top style="medium">
        <color rgb="FF4472C4"/>
      </top>
      <bottom style="medium">
        <color rgb="FF4472C4"/>
      </bottom>
      <diagonal/>
    </border>
    <border>
      <left/>
      <right/>
      <top/>
      <bottom style="thick">
        <color rgb="FF1D2330"/>
      </bottom>
      <diagonal/>
    </border>
    <border>
      <left style="medium">
        <color rgb="FF008000"/>
      </left>
      <right style="medium">
        <color rgb="FF008000"/>
      </right>
      <top style="medium">
        <color rgb="FF1D2330"/>
      </top>
      <bottom style="medium">
        <color rgb="FF008000"/>
      </bottom>
      <diagonal/>
    </border>
    <border>
      <left/>
      <right/>
      <top/>
      <bottom style="thick">
        <color rgb="FF2F75B5"/>
      </bottom>
      <diagonal/>
    </border>
    <border>
      <left/>
      <right/>
      <top/>
      <bottom style="medium">
        <color rgb="FF1D2330"/>
      </bottom>
      <diagonal/>
    </border>
    <border>
      <left/>
      <right/>
      <top/>
      <bottom style="medium">
        <color rgb="FF000000"/>
      </bottom>
      <diagonal/>
    </border>
    <border>
      <left/>
      <right/>
      <top/>
      <bottom style="thin">
        <color rgb="FF808080"/>
      </bottom>
      <diagonal/>
    </border>
  </borders>
  <cellStyleXfs count="1">
    <xf numFmtId="0" fontId="0" fillId="0" borderId="0"/>
  </cellStyleXfs>
  <cellXfs count="39">
    <xf numFmtId="0" fontId="0" fillId="0" borderId="0" xfId="0"/>
    <xf numFmtId="0" fontId="1" fillId="2" borderId="0" xfId="0" applyFont="1" applyFill="1" applyAlignment="1">
      <alignment horizontal="center" vertical="center" wrapText="1"/>
    </xf>
    <xf numFmtId="0" fontId="4" fillId="0" borderId="1" xfId="0" applyFont="1" applyBorder="1" applyAlignment="1">
      <alignment horizontal="left" vertical="top" wrapText="1"/>
    </xf>
    <xf numFmtId="0" fontId="4" fillId="0" borderId="1" xfId="0" applyFont="1" applyBorder="1" applyAlignment="1">
      <alignment horizontal="center" vertical="top" wrapText="1"/>
    </xf>
    <xf numFmtId="0" fontId="4" fillId="0" borderId="0" xfId="0" applyFont="1" applyAlignment="1">
      <alignment horizontal="left" vertical="top" wrapText="1"/>
    </xf>
    <xf numFmtId="0" fontId="4" fillId="0" borderId="0" xfId="0" applyFont="1" applyAlignment="1">
      <alignment horizontal="center" vertical="top" wrapText="1"/>
    </xf>
    <xf numFmtId="0" fontId="4" fillId="0" borderId="2" xfId="0" applyFont="1" applyBorder="1" applyAlignment="1">
      <alignment horizontal="left" vertical="top" wrapText="1"/>
    </xf>
    <xf numFmtId="0" fontId="4" fillId="0" borderId="2" xfId="0" applyFont="1" applyBorder="1" applyAlignment="1">
      <alignment horizontal="center" vertical="top" wrapText="1"/>
    </xf>
    <xf numFmtId="0" fontId="8" fillId="7" borderId="3" xfId="0" applyFont="1" applyFill="1" applyBorder="1" applyAlignment="1">
      <alignment horizontal="left"/>
    </xf>
    <xf numFmtId="0" fontId="9" fillId="8" borderId="0" xfId="0" applyFont="1" applyFill="1" applyAlignment="1">
      <alignment horizontal="left"/>
    </xf>
    <xf numFmtId="0" fontId="8" fillId="7" borderId="0" xfId="0" applyFont="1" applyFill="1" applyAlignment="1">
      <alignment horizontal="center"/>
    </xf>
    <xf numFmtId="0" fontId="10" fillId="0" borderId="4" xfId="0" applyFont="1" applyBorder="1" applyAlignment="1">
      <alignment horizontal="center"/>
    </xf>
    <xf numFmtId="0" fontId="2" fillId="0" borderId="1" xfId="0" applyFont="1" applyBorder="1" applyAlignment="1">
      <alignment horizontal="center" vertical="top" wrapText="1"/>
    </xf>
    <xf numFmtId="0" fontId="3" fillId="3" borderId="1" xfId="0" applyFont="1" applyFill="1" applyBorder="1" applyAlignment="1">
      <alignment horizontal="center" vertical="center" wrapText="1"/>
    </xf>
    <xf numFmtId="0" fontId="2" fillId="0" borderId="0" xfId="0" applyFont="1" applyAlignment="1">
      <alignment horizontal="center" vertical="top" wrapText="1"/>
    </xf>
    <xf numFmtId="0" fontId="3" fillId="3" borderId="0" xfId="0" applyFont="1" applyFill="1" applyAlignment="1">
      <alignment horizontal="center" vertical="center" wrapText="1"/>
    </xf>
    <xf numFmtId="0" fontId="5" fillId="3" borderId="1" xfId="0" applyFont="1" applyFill="1" applyBorder="1" applyAlignment="1">
      <alignment horizontal="center" vertical="center" wrapText="1"/>
    </xf>
    <xf numFmtId="0" fontId="5" fillId="3" borderId="0" xfId="0" applyFont="1" applyFill="1" applyAlignment="1">
      <alignment horizontal="center" vertical="center" wrapText="1"/>
    </xf>
    <xf numFmtId="0" fontId="5" fillId="4" borderId="1" xfId="0" applyFont="1" applyFill="1" applyBorder="1" applyAlignment="1">
      <alignment horizontal="center" vertical="center" wrapText="1"/>
    </xf>
    <xf numFmtId="0" fontId="5" fillId="4" borderId="0" xfId="0" applyFont="1" applyFill="1" applyAlignment="1">
      <alignment horizontal="center" vertical="center" wrapText="1"/>
    </xf>
    <xf numFmtId="0" fontId="6" fillId="4" borderId="1" xfId="0" applyFont="1" applyFill="1" applyBorder="1" applyAlignment="1">
      <alignment horizontal="center" vertical="center" wrapText="1"/>
    </xf>
    <xf numFmtId="0" fontId="6" fillId="4" borderId="0" xfId="0" applyFont="1" applyFill="1" applyAlignment="1">
      <alignment horizontal="center" vertical="center" wrapText="1"/>
    </xf>
    <xf numFmtId="0" fontId="7" fillId="4" borderId="1" xfId="0" applyFont="1" applyFill="1" applyBorder="1" applyAlignment="1">
      <alignment horizontal="center" vertical="center" wrapText="1"/>
    </xf>
    <xf numFmtId="0" fontId="7" fillId="4" borderId="0" xfId="0" applyFont="1" applyFill="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center" vertical="top" wrapText="1"/>
    </xf>
    <xf numFmtId="0" fontId="3" fillId="4" borderId="0" xfId="0" applyFont="1" applyFill="1" applyAlignment="1">
      <alignment horizontal="center" vertical="top" wrapText="1"/>
    </xf>
    <xf numFmtId="0" fontId="3" fillId="5" borderId="1" xfId="0" applyFont="1" applyFill="1" applyBorder="1" applyAlignment="1">
      <alignment horizontal="center" vertical="top" wrapText="1"/>
    </xf>
    <xf numFmtId="0" fontId="3" fillId="5" borderId="0" xfId="0" applyFont="1" applyFill="1" applyAlignment="1">
      <alignment horizontal="center" vertical="top" wrapText="1"/>
    </xf>
    <xf numFmtId="0" fontId="3" fillId="6" borderId="1" xfId="0" applyFont="1" applyFill="1" applyBorder="1" applyAlignment="1">
      <alignment horizontal="center" vertical="top" wrapText="1"/>
    </xf>
    <xf numFmtId="0" fontId="3" fillId="6" borderId="0" xfId="0" applyFont="1" applyFill="1" applyAlignment="1">
      <alignment horizontal="center" vertical="top" wrapText="1"/>
    </xf>
    <xf numFmtId="0" fontId="2" fillId="0" borderId="2" xfId="0" applyFont="1" applyBorder="1" applyAlignment="1">
      <alignment horizontal="center" vertical="top" wrapText="1"/>
    </xf>
    <xf numFmtId="0" fontId="3" fillId="3" borderId="2" xfId="0" applyFont="1" applyFill="1" applyBorder="1" applyAlignment="1">
      <alignment horizontal="center" vertical="top" wrapText="1"/>
    </xf>
    <xf numFmtId="0" fontId="3" fillId="3" borderId="0" xfId="0" applyFont="1" applyFill="1" applyAlignment="1">
      <alignment horizontal="center" vertical="top" wrapText="1"/>
    </xf>
    <xf numFmtId="0" fontId="0" fillId="0" borderId="0" xfId="0" applyAlignment="1">
      <alignment wrapText="1"/>
    </xf>
    <xf numFmtId="0" fontId="11" fillId="7" borderId="5" xfId="0" applyNumberFormat="1" applyFont="1" applyFill="1" applyBorder="1" applyAlignment="1">
      <alignment horizontal="left"/>
    </xf>
    <xf numFmtId="0" fontId="8" fillId="9" borderId="6" xfId="0" applyNumberFormat="1" applyFont="1" applyFill="1" applyBorder="1" applyAlignment="1">
      <alignment horizontal="center"/>
    </xf>
    <xf numFmtId="1" fontId="12" fillId="10" borderId="7" xfId="0" applyNumberFormat="1" applyFont="1" applyFill="1" applyBorder="1" applyAlignment="1">
      <alignment horizontal="right"/>
    </xf>
    <xf numFmtId="0" fontId="12" fillId="8" borderId="8" xfId="0" applyNumberFormat="1" applyFont="1" applyFill="1" applyBorder="1" applyAlignment="1">
      <alignment horizontal="left"/>
    </xf>
  </cellXfs>
  <cellStyles count="1">
    <cellStyle name="Normal" xfId="0" builtinId="0"/>
  </cellStyles>
  <dxfs count="19">
    <dxf>
      <font>
        <b/>
        <i val="0"/>
        <strike val="0"/>
        <condense val="0"/>
        <extend val="0"/>
        <outline val="0"/>
        <shadow val="0"/>
        <u val="none"/>
        <vertAlign val="baseline"/>
        <sz val="11"/>
        <color rgb="FFFFFFFF"/>
        <name val="Aptos Display"/>
        <family val="2"/>
        <scheme val="none"/>
      </font>
      <fill>
        <patternFill patternType="solid">
          <fgColor indexed="64"/>
          <bgColor rgb="FF1F4E78"/>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left"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center" vertical="top" textRotation="0" wrapText="1" indent="0" justifyLastLine="0" shrinkToFit="0" readingOrder="0"/>
    </dxf>
    <dxf>
      <font>
        <b val="0"/>
        <i val="0"/>
        <strike val="0"/>
        <condense val="0"/>
        <extend val="0"/>
        <outline val="0"/>
        <shadow val="0"/>
        <u val="none"/>
        <vertAlign val="baseline"/>
        <sz val="10"/>
        <color auto="1"/>
        <name val="Aptos"/>
        <family val="2"/>
        <scheme val="none"/>
      </font>
      <alignment horizontal="center" vertical="top" textRotation="0" wrapText="1" indent="0" justifyLastLine="0" shrinkToFit="0" readingOrder="0"/>
    </dxf>
    <dxf>
      <font>
        <b/>
        <i val="0"/>
        <strike val="0"/>
        <condense val="0"/>
        <extend val="0"/>
        <outline val="0"/>
        <shadow val="0"/>
        <u val="none"/>
        <vertAlign val="baseline"/>
        <sz val="10"/>
        <color rgb="FF1F4E78"/>
        <name val="Aptos"/>
        <family val="2"/>
        <scheme val="none"/>
      </font>
      <fill>
        <patternFill patternType="solid">
          <fgColor indexed="64"/>
          <bgColor rgb="FFD9EAF7"/>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ptos"/>
        <family val="2"/>
        <scheme val="none"/>
      </font>
      <alignment horizontal="center"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6DB35D2-EED3-46A4-A225-923E7A0F6D9B}" name="TechnologyRiskQuestionBank" displayName="TechnologyRiskQuestionBank" ref="A1:Q101" totalsRowShown="0" headerRowDxfId="0" dataDxfId="1">
  <autoFilter ref="A1:Q101" xr:uid="{86DB35D2-EED3-46A4-A225-923E7A0F6D9B}"/>
  <tableColumns count="17">
    <tableColumn id="1" xr3:uid="{8D237177-CEC0-48D5-8610-8BCF21494036}" name="Question ID" dataDxfId="18"/>
    <tableColumn id="2" xr3:uid="{EA152682-BB52-4882-893F-969FB92E8627}" name="Module ID" dataDxfId="17"/>
    <tableColumn id="3" xr3:uid="{6DAD981E-7C2B-4E99-ACA5-C0C323785CE0}" name="Type" dataDxfId="16"/>
    <tableColumn id="4" xr3:uid="{B21623C0-7385-4817-9CFE-5277A32F5211}" name="Difficulty 1-5" dataDxfId="15"/>
    <tableColumn id="5" xr3:uid="{CE4EBF71-4676-4999-880C-26B001AE8AD0}" name="Technology Risk Assessment Question" dataDxfId="14"/>
    <tableColumn id="6" xr3:uid="{56955863-BA37-4615-BC04-F9BD7707998E}" name="Follow-up Probes" dataDxfId="13"/>
    <tableColumn id="7" xr3:uid="{BEF22AB9-9B0F-4718-8EE6-C063B364FCDB}" name="Expected Evidence (JD-aligned)" dataDxfId="12"/>
    <tableColumn id="8" xr3:uid="{9DEA9EC5-302E-4039-A22E-589F4CBE99F0}" name="Red Flags" dataDxfId="11"/>
    <tableColumn id="9" xr3:uid="{B423F7AE-9655-4B49-ACD6-801E7F25EBA8}" name="Gap Tag" dataDxfId="10"/>
    <tableColumn id="10" xr3:uid="{3F0DFC92-D77E-4657-91AE-44B46504B6AD}" name="Enrichment Prescription" dataDxfId="9"/>
    <tableColumn id="11" xr3:uid="{CD2C9972-FBE9-4F69-B6BA-21D75571FB88}" name="Suggested Minutes" dataDxfId="8"/>
    <tableColumn id="12" xr3:uid="{FB64ADDA-DDF6-437C-BE79-9373AF2A9AA8}" name="Status" dataDxfId="7"/>
    <tableColumn id="13" xr3:uid="{99491BAB-7FBE-47C2-A609-9C5B83F7D3DC}" name="Version" dataDxfId="6"/>
    <tableColumn id="14" xr3:uid="{52019D9D-D566-49DE-B195-B7F8C0668520}" name="Question Family" dataDxfId="5"/>
    <tableColumn id="15" xr3:uid="{0BD251D8-5967-490D-BACC-46D11E2F2B9F}" name="Difficulty Band" dataDxfId="4"/>
    <tableColumn id="16" xr3:uid="{E4ADFC28-F96E-4A89-837D-5464DC3FE9E8}" name="Assessment Mode" dataDxfId="3"/>
    <tableColumn id="17" xr3:uid="{A61DEE72-77EE-4FA8-B637-D4E6D316EC63}" name="Randomization Eligible" dataDxfId="2"/>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861380B-E051-4A66-958F-BABE38A930D2}">
  <we:reference id="WA200010215" version="2.0.0.0" store="Omex" storeType="OMEX"/>
  <we:alternateReferences>
    <we:reference id="WA200010215" version="2.0.0.0" store="WA200010215" storeType="OMEX"/>
  </we:alternateReferences>
  <we:properties>
    <we:property name="bps.codex_control.document_id" value="&quot;241755d1-906a-4823-8c65-db161f79591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8E161-29F2-44A2-9CC0-C25A71B8825B}">
  <dimension ref="A1:Q349"/>
  <sheetViews>
    <sheetView showGridLines="0" tabSelected="1" zoomScale="80" zoomScaleNormal="80" workbookViewId="0">
      <pane xSplit="4" ySplit="1" topLeftCell="E17" activePane="bottomRight" state="frozen"/>
      <selection pane="topRight" activeCell="E1" sqref="E1"/>
      <selection pane="bottomLeft" activeCell="A2" sqref="A2"/>
      <selection pane="bottomRight" activeCell="E18" sqref="E18"/>
    </sheetView>
  </sheetViews>
  <sheetFormatPr defaultRowHeight="14"/>
  <cols>
    <col min="1" max="4" width="15.83203125" style="34" customWidth="1"/>
    <col min="5" max="10" width="43.33203125" style="34" customWidth="1"/>
    <col min="11" max="16" width="19.1640625" style="34" customWidth="1"/>
    <col min="17" max="17" width="20.75" style="34" customWidth="1"/>
  </cols>
  <sheetData>
    <row r="1" spans="1:17" ht="15" thickBot="1">
      <c r="A1" s="1" t="s">
        <v>0</v>
      </c>
      <c r="B1" s="1" t="s">
        <v>1</v>
      </c>
      <c r="C1" s="1" t="s">
        <v>2</v>
      </c>
      <c r="D1" s="1" t="s">
        <v>3</v>
      </c>
      <c r="E1" s="1" t="s">
        <v>44</v>
      </c>
      <c r="F1" s="1" t="s">
        <v>4</v>
      </c>
      <c r="G1" s="1" t="s">
        <v>32</v>
      </c>
      <c r="H1" s="1" t="s">
        <v>5</v>
      </c>
      <c r="I1" s="1" t="s">
        <v>6</v>
      </c>
      <c r="J1" s="1" t="s">
        <v>7</v>
      </c>
      <c r="K1" s="1" t="s">
        <v>8</v>
      </c>
      <c r="L1" s="1" t="s">
        <v>9</v>
      </c>
      <c r="M1" s="1" t="s">
        <v>10</v>
      </c>
      <c r="N1" s="1" t="s">
        <v>11</v>
      </c>
      <c r="O1" s="1" t="s">
        <v>12</v>
      </c>
      <c r="P1" s="1" t="s">
        <v>13</v>
      </c>
      <c r="Q1" s="1" t="s">
        <v>14</v>
      </c>
    </row>
    <row r="2" spans="1:17" ht="195">
      <c r="A2" s="12" t="s">
        <v>45</v>
      </c>
      <c r="B2" s="13" t="s">
        <v>34</v>
      </c>
      <c r="C2" s="3" t="s">
        <v>21</v>
      </c>
      <c r="D2" s="3">
        <v>5</v>
      </c>
      <c r="E2" s="2" t="s">
        <v>46</v>
      </c>
      <c r="F2" s="2" t="s">
        <v>47</v>
      </c>
      <c r="G2" s="2" t="s">
        <v>48</v>
      </c>
      <c r="H2" s="2" t="s">
        <v>49</v>
      </c>
      <c r="I2" s="2" t="s">
        <v>50</v>
      </c>
      <c r="J2" s="2" t="s">
        <v>51</v>
      </c>
      <c r="K2" s="3">
        <v>2</v>
      </c>
      <c r="L2" s="3" t="s">
        <v>16</v>
      </c>
      <c r="M2" s="3">
        <v>1</v>
      </c>
      <c r="N2" s="2" t="s">
        <v>52</v>
      </c>
      <c r="O2" s="3" t="s">
        <v>22</v>
      </c>
      <c r="P2" s="3" t="s">
        <v>23</v>
      </c>
      <c r="Q2" s="3" t="s">
        <v>19</v>
      </c>
    </row>
    <row r="3" spans="1:17" ht="208">
      <c r="A3" s="14" t="s">
        <v>53</v>
      </c>
      <c r="B3" s="15" t="s">
        <v>34</v>
      </c>
      <c r="C3" s="5" t="s">
        <v>21</v>
      </c>
      <c r="D3" s="5">
        <v>4</v>
      </c>
      <c r="E3" s="4" t="s">
        <v>54</v>
      </c>
      <c r="F3" s="4" t="s">
        <v>55</v>
      </c>
      <c r="G3" s="4" t="s">
        <v>56</v>
      </c>
      <c r="H3" s="4" t="s">
        <v>49</v>
      </c>
      <c r="I3" s="4" t="s">
        <v>50</v>
      </c>
      <c r="J3" s="4" t="s">
        <v>51</v>
      </c>
      <c r="K3" s="5">
        <v>2</v>
      </c>
      <c r="L3" s="5" t="s">
        <v>16</v>
      </c>
      <c r="M3" s="5">
        <v>1</v>
      </c>
      <c r="N3" s="4" t="s">
        <v>52</v>
      </c>
      <c r="O3" s="5" t="s">
        <v>17</v>
      </c>
      <c r="P3" s="5" t="s">
        <v>23</v>
      </c>
      <c r="Q3" s="5" t="s">
        <v>19</v>
      </c>
    </row>
    <row r="4" spans="1:17" ht="195">
      <c r="A4" s="14" t="s">
        <v>57</v>
      </c>
      <c r="B4" s="15" t="s">
        <v>34</v>
      </c>
      <c r="C4" s="5" t="s">
        <v>21</v>
      </c>
      <c r="D4" s="5">
        <v>4</v>
      </c>
      <c r="E4" s="4" t="s">
        <v>58</v>
      </c>
      <c r="F4" s="4" t="s">
        <v>59</v>
      </c>
      <c r="G4" s="4" t="s">
        <v>60</v>
      </c>
      <c r="H4" s="4" t="s">
        <v>49</v>
      </c>
      <c r="I4" s="4" t="s">
        <v>50</v>
      </c>
      <c r="J4" s="4" t="s">
        <v>51</v>
      </c>
      <c r="K4" s="5">
        <v>2</v>
      </c>
      <c r="L4" s="5" t="s">
        <v>16</v>
      </c>
      <c r="M4" s="5">
        <v>1</v>
      </c>
      <c r="N4" s="4" t="s">
        <v>52</v>
      </c>
      <c r="O4" s="5" t="s">
        <v>17</v>
      </c>
      <c r="P4" s="5" t="s">
        <v>23</v>
      </c>
      <c r="Q4" s="5" t="s">
        <v>19</v>
      </c>
    </row>
    <row r="5" spans="1:17" ht="195.5" thickBot="1">
      <c r="A5" s="14" t="s">
        <v>61</v>
      </c>
      <c r="B5" s="15" t="s">
        <v>34</v>
      </c>
      <c r="C5" s="5" t="s">
        <v>21</v>
      </c>
      <c r="D5" s="5">
        <v>5</v>
      </c>
      <c r="E5" s="4" t="s">
        <v>62</v>
      </c>
      <c r="F5" s="4" t="s">
        <v>63</v>
      </c>
      <c r="G5" s="4" t="s">
        <v>64</v>
      </c>
      <c r="H5" s="4" t="s">
        <v>49</v>
      </c>
      <c r="I5" s="4" t="s">
        <v>50</v>
      </c>
      <c r="J5" s="4" t="s">
        <v>51</v>
      </c>
      <c r="K5" s="5">
        <v>2</v>
      </c>
      <c r="L5" s="5" t="s">
        <v>16</v>
      </c>
      <c r="M5" s="5">
        <v>1</v>
      </c>
      <c r="N5" s="4" t="s">
        <v>52</v>
      </c>
      <c r="O5" s="5" t="s">
        <v>22</v>
      </c>
      <c r="P5" s="5" t="s">
        <v>23</v>
      </c>
      <c r="Q5" s="5" t="s">
        <v>19</v>
      </c>
    </row>
    <row r="6" spans="1:17" ht="273">
      <c r="A6" s="12" t="s">
        <v>65</v>
      </c>
      <c r="B6" s="16" t="s">
        <v>34</v>
      </c>
      <c r="C6" s="3" t="s">
        <v>21</v>
      </c>
      <c r="D6" s="3">
        <v>4</v>
      </c>
      <c r="E6" s="2" t="s">
        <v>320</v>
      </c>
      <c r="F6" s="2" t="s">
        <v>321</v>
      </c>
      <c r="G6" s="2" t="s">
        <v>322</v>
      </c>
      <c r="H6" s="2" t="s">
        <v>323</v>
      </c>
      <c r="I6" s="2" t="s">
        <v>50</v>
      </c>
      <c r="J6" s="2" t="s">
        <v>51</v>
      </c>
      <c r="K6" s="3">
        <v>2</v>
      </c>
      <c r="L6" s="3" t="s">
        <v>16</v>
      </c>
      <c r="M6" s="3">
        <v>1</v>
      </c>
      <c r="N6" s="2" t="s">
        <v>52</v>
      </c>
      <c r="O6" s="3" t="s">
        <v>17</v>
      </c>
      <c r="P6" s="3" t="s">
        <v>23</v>
      </c>
      <c r="Q6" s="3" t="s">
        <v>19</v>
      </c>
    </row>
    <row r="7" spans="1:17" ht="273">
      <c r="A7" s="14" t="s">
        <v>66</v>
      </c>
      <c r="B7" s="17" t="s">
        <v>34</v>
      </c>
      <c r="C7" s="5" t="s">
        <v>21</v>
      </c>
      <c r="D7" s="5">
        <v>4</v>
      </c>
      <c r="E7" s="4" t="s">
        <v>324</v>
      </c>
      <c r="F7" s="4" t="s">
        <v>325</v>
      </c>
      <c r="G7" s="4" t="s">
        <v>326</v>
      </c>
      <c r="H7" s="4" t="s">
        <v>327</v>
      </c>
      <c r="I7" s="4" t="s">
        <v>50</v>
      </c>
      <c r="J7" s="4" t="s">
        <v>51</v>
      </c>
      <c r="K7" s="5">
        <v>2</v>
      </c>
      <c r="L7" s="5" t="s">
        <v>16</v>
      </c>
      <c r="M7" s="5">
        <v>1</v>
      </c>
      <c r="N7" s="4" t="s">
        <v>52</v>
      </c>
      <c r="O7" s="5" t="s">
        <v>17</v>
      </c>
      <c r="P7" s="5" t="s">
        <v>23</v>
      </c>
      <c r="Q7" s="5" t="s">
        <v>19</v>
      </c>
    </row>
    <row r="8" spans="1:17" ht="52">
      <c r="A8" s="14" t="s">
        <v>67</v>
      </c>
      <c r="B8" s="17" t="s">
        <v>34</v>
      </c>
      <c r="C8" s="5" t="s">
        <v>68</v>
      </c>
      <c r="D8" s="5">
        <v>5</v>
      </c>
      <c r="E8" s="4" t="s">
        <v>341</v>
      </c>
      <c r="F8" s="4" t="s">
        <v>342</v>
      </c>
      <c r="G8" s="4" t="s">
        <v>343</v>
      </c>
      <c r="H8" s="4" t="s">
        <v>69</v>
      </c>
      <c r="I8" s="4" t="s">
        <v>50</v>
      </c>
      <c r="J8" s="4" t="s">
        <v>51</v>
      </c>
      <c r="K8" s="5">
        <v>2</v>
      </c>
      <c r="L8" s="5" t="s">
        <v>16</v>
      </c>
      <c r="M8" s="5">
        <v>1</v>
      </c>
      <c r="N8" s="4" t="s">
        <v>52</v>
      </c>
      <c r="O8" s="5" t="s">
        <v>22</v>
      </c>
      <c r="P8" s="5" t="s">
        <v>20</v>
      </c>
      <c r="Q8" s="5" t="s">
        <v>19</v>
      </c>
    </row>
    <row r="9" spans="1:17" ht="52">
      <c r="A9" s="14" t="s">
        <v>70</v>
      </c>
      <c r="B9" s="17" t="s">
        <v>34</v>
      </c>
      <c r="C9" s="5" t="s">
        <v>71</v>
      </c>
      <c r="D9" s="5">
        <v>4</v>
      </c>
      <c r="E9" s="4" t="s">
        <v>344</v>
      </c>
      <c r="F9" s="4" t="s">
        <v>342</v>
      </c>
      <c r="G9" s="4" t="s">
        <v>345</v>
      </c>
      <c r="H9" s="4" t="s">
        <v>69</v>
      </c>
      <c r="I9" s="4" t="s">
        <v>50</v>
      </c>
      <c r="J9" s="4" t="s">
        <v>51</v>
      </c>
      <c r="K9" s="5">
        <v>2</v>
      </c>
      <c r="L9" s="5" t="s">
        <v>16</v>
      </c>
      <c r="M9" s="5">
        <v>1</v>
      </c>
      <c r="N9" s="4" t="s">
        <v>52</v>
      </c>
      <c r="O9" s="5" t="s">
        <v>17</v>
      </c>
      <c r="P9" s="5" t="s">
        <v>20</v>
      </c>
      <c r="Q9" s="5" t="s">
        <v>19</v>
      </c>
    </row>
    <row r="10" spans="1:17" ht="52">
      <c r="A10" s="14" t="s">
        <v>72</v>
      </c>
      <c r="B10" s="17" t="s">
        <v>34</v>
      </c>
      <c r="C10" s="5" t="s">
        <v>26</v>
      </c>
      <c r="D10" s="5">
        <v>4</v>
      </c>
      <c r="E10" s="4" t="s">
        <v>346</v>
      </c>
      <c r="F10" s="4" t="s">
        <v>342</v>
      </c>
      <c r="G10" s="4" t="s">
        <v>347</v>
      </c>
      <c r="H10" s="4" t="s">
        <v>328</v>
      </c>
      <c r="I10" s="4" t="s">
        <v>50</v>
      </c>
      <c r="J10" s="4" t="s">
        <v>51</v>
      </c>
      <c r="K10" s="5">
        <v>2</v>
      </c>
      <c r="L10" s="5" t="s">
        <v>16</v>
      </c>
      <c r="M10" s="5">
        <v>1</v>
      </c>
      <c r="N10" s="4" t="s">
        <v>52</v>
      </c>
      <c r="O10" s="5" t="s">
        <v>17</v>
      </c>
      <c r="P10" s="5" t="s">
        <v>20</v>
      </c>
      <c r="Q10" s="5" t="s">
        <v>19</v>
      </c>
    </row>
    <row r="11" spans="1:17" ht="52">
      <c r="A11" s="14" t="s">
        <v>73</v>
      </c>
      <c r="B11" s="17" t="s">
        <v>34</v>
      </c>
      <c r="C11" s="5" t="s">
        <v>29</v>
      </c>
      <c r="D11" s="5">
        <v>4</v>
      </c>
      <c r="E11" s="4" t="s">
        <v>348</v>
      </c>
      <c r="F11" s="4" t="s">
        <v>342</v>
      </c>
      <c r="G11" s="4" t="s">
        <v>349</v>
      </c>
      <c r="H11" s="4" t="s">
        <v>69</v>
      </c>
      <c r="I11" s="4" t="s">
        <v>50</v>
      </c>
      <c r="J11" s="4" t="s">
        <v>51</v>
      </c>
      <c r="K11" s="5">
        <v>2</v>
      </c>
      <c r="L11" s="5" t="s">
        <v>16</v>
      </c>
      <c r="M11" s="5">
        <v>1</v>
      </c>
      <c r="N11" s="4" t="s">
        <v>52</v>
      </c>
      <c r="O11" s="5" t="s">
        <v>17</v>
      </c>
      <c r="P11" s="5" t="s">
        <v>18</v>
      </c>
      <c r="Q11" s="5" t="s">
        <v>19</v>
      </c>
    </row>
    <row r="12" spans="1:17" ht="195">
      <c r="A12" s="14" t="s">
        <v>74</v>
      </c>
      <c r="B12" s="17" t="s">
        <v>75</v>
      </c>
      <c r="C12" s="5" t="s">
        <v>21</v>
      </c>
      <c r="D12" s="5">
        <v>5</v>
      </c>
      <c r="E12" s="4" t="s">
        <v>76</v>
      </c>
      <c r="F12" s="4" t="s">
        <v>63</v>
      </c>
      <c r="G12" s="4" t="s">
        <v>77</v>
      </c>
      <c r="H12" s="4" t="s">
        <v>49</v>
      </c>
      <c r="I12" s="4" t="s">
        <v>78</v>
      </c>
      <c r="J12" s="4" t="s">
        <v>79</v>
      </c>
      <c r="K12" s="5">
        <v>2</v>
      </c>
      <c r="L12" s="5" t="s">
        <v>16</v>
      </c>
      <c r="M12" s="5">
        <v>1</v>
      </c>
      <c r="N12" s="4" t="s">
        <v>80</v>
      </c>
      <c r="O12" s="5" t="s">
        <v>22</v>
      </c>
      <c r="P12" s="5" t="s">
        <v>23</v>
      </c>
      <c r="Q12" s="5" t="s">
        <v>19</v>
      </c>
    </row>
    <row r="13" spans="1:17" ht="208">
      <c r="A13" s="14" t="s">
        <v>81</v>
      </c>
      <c r="B13" s="17" t="s">
        <v>75</v>
      </c>
      <c r="C13" s="5" t="s">
        <v>21</v>
      </c>
      <c r="D13" s="5">
        <v>4</v>
      </c>
      <c r="E13" s="4" t="s">
        <v>82</v>
      </c>
      <c r="F13" s="4" t="s">
        <v>47</v>
      </c>
      <c r="G13" s="4" t="s">
        <v>83</v>
      </c>
      <c r="H13" s="4" t="s">
        <v>49</v>
      </c>
      <c r="I13" s="4" t="s">
        <v>78</v>
      </c>
      <c r="J13" s="4" t="s">
        <v>79</v>
      </c>
      <c r="K13" s="5">
        <v>2</v>
      </c>
      <c r="L13" s="5" t="s">
        <v>16</v>
      </c>
      <c r="M13" s="5">
        <v>1</v>
      </c>
      <c r="N13" s="4" t="s">
        <v>80</v>
      </c>
      <c r="O13" s="5" t="s">
        <v>17</v>
      </c>
      <c r="P13" s="5" t="s">
        <v>23</v>
      </c>
      <c r="Q13" s="5" t="s">
        <v>19</v>
      </c>
    </row>
    <row r="14" spans="1:17" ht="182.5" thickBot="1">
      <c r="A14" s="14" t="s">
        <v>84</v>
      </c>
      <c r="B14" s="17" t="s">
        <v>75</v>
      </c>
      <c r="C14" s="5" t="s">
        <v>21</v>
      </c>
      <c r="D14" s="5">
        <v>4</v>
      </c>
      <c r="E14" s="4" t="s">
        <v>85</v>
      </c>
      <c r="F14" s="4" t="s">
        <v>55</v>
      </c>
      <c r="G14" s="4" t="s">
        <v>86</v>
      </c>
      <c r="H14" s="4" t="s">
        <v>49</v>
      </c>
      <c r="I14" s="4" t="s">
        <v>78</v>
      </c>
      <c r="J14" s="4" t="s">
        <v>79</v>
      </c>
      <c r="K14" s="5">
        <v>2</v>
      </c>
      <c r="L14" s="5" t="s">
        <v>16</v>
      </c>
      <c r="M14" s="5">
        <v>1</v>
      </c>
      <c r="N14" s="4" t="s">
        <v>80</v>
      </c>
      <c r="O14" s="5" t="s">
        <v>17</v>
      </c>
      <c r="P14" s="5" t="s">
        <v>23</v>
      </c>
      <c r="Q14" s="5" t="s">
        <v>19</v>
      </c>
    </row>
    <row r="15" spans="1:17" ht="208.5" thickBot="1">
      <c r="A15" s="12" t="s">
        <v>87</v>
      </c>
      <c r="B15" s="16" t="s">
        <v>75</v>
      </c>
      <c r="C15" s="3" t="s">
        <v>21</v>
      </c>
      <c r="D15" s="3">
        <v>5</v>
      </c>
      <c r="E15" s="2" t="s">
        <v>88</v>
      </c>
      <c r="F15" s="2" t="s">
        <v>59</v>
      </c>
      <c r="G15" s="2" t="s">
        <v>89</v>
      </c>
      <c r="H15" s="2" t="s">
        <v>49</v>
      </c>
      <c r="I15" s="2" t="s">
        <v>78</v>
      </c>
      <c r="J15" s="2" t="s">
        <v>79</v>
      </c>
      <c r="K15" s="3">
        <v>2</v>
      </c>
      <c r="L15" s="3" t="s">
        <v>16</v>
      </c>
      <c r="M15" s="3">
        <v>1</v>
      </c>
      <c r="N15" s="2" t="s">
        <v>80</v>
      </c>
      <c r="O15" s="3" t="s">
        <v>22</v>
      </c>
      <c r="P15" s="3" t="s">
        <v>23</v>
      </c>
      <c r="Q15" s="3" t="s">
        <v>19</v>
      </c>
    </row>
    <row r="16" spans="1:17" ht="312">
      <c r="A16" s="12" t="s">
        <v>90</v>
      </c>
      <c r="B16" s="18" t="s">
        <v>75</v>
      </c>
      <c r="C16" s="3" t="s">
        <v>21</v>
      </c>
      <c r="D16" s="3">
        <v>4</v>
      </c>
      <c r="E16" s="2" t="s">
        <v>339</v>
      </c>
      <c r="F16" s="2" t="s">
        <v>329</v>
      </c>
      <c r="G16" s="2" t="s">
        <v>330</v>
      </c>
      <c r="H16" s="2" t="s">
        <v>331</v>
      </c>
      <c r="I16" s="2" t="s">
        <v>78</v>
      </c>
      <c r="J16" s="2" t="s">
        <v>79</v>
      </c>
      <c r="K16" s="3">
        <v>2</v>
      </c>
      <c r="L16" s="3" t="s">
        <v>16</v>
      </c>
      <c r="M16" s="3">
        <v>1</v>
      </c>
      <c r="N16" s="2" t="s">
        <v>80</v>
      </c>
      <c r="O16" s="3" t="s">
        <v>17</v>
      </c>
      <c r="P16" s="3" t="s">
        <v>23</v>
      </c>
      <c r="Q16" s="3" t="s">
        <v>19</v>
      </c>
    </row>
    <row r="17" spans="1:17" ht="273">
      <c r="A17" s="14" t="s">
        <v>91</v>
      </c>
      <c r="B17" s="19" t="s">
        <v>75</v>
      </c>
      <c r="C17" s="5" t="s">
        <v>21</v>
      </c>
      <c r="D17" s="5">
        <v>4</v>
      </c>
      <c r="E17" s="4" t="s">
        <v>340</v>
      </c>
      <c r="F17" s="4" t="s">
        <v>332</v>
      </c>
      <c r="G17" s="4" t="s">
        <v>333</v>
      </c>
      <c r="H17" s="4" t="s">
        <v>334</v>
      </c>
      <c r="I17" s="4" t="s">
        <v>78</v>
      </c>
      <c r="J17" s="4" t="s">
        <v>79</v>
      </c>
      <c r="K17" s="5">
        <v>2</v>
      </c>
      <c r="L17" s="5" t="s">
        <v>16</v>
      </c>
      <c r="M17" s="5">
        <v>1</v>
      </c>
      <c r="N17" s="4" t="s">
        <v>80</v>
      </c>
      <c r="O17" s="5" t="s">
        <v>17</v>
      </c>
      <c r="P17" s="5" t="s">
        <v>23</v>
      </c>
      <c r="Q17" s="5" t="s">
        <v>19</v>
      </c>
    </row>
    <row r="18" spans="1:17" ht="52">
      <c r="A18" s="14" t="s">
        <v>92</v>
      </c>
      <c r="B18" s="19" t="s">
        <v>75</v>
      </c>
      <c r="C18" s="5" t="s">
        <v>93</v>
      </c>
      <c r="D18" s="5">
        <v>5</v>
      </c>
      <c r="E18" s="4" t="s">
        <v>350</v>
      </c>
      <c r="F18" s="4" t="s">
        <v>342</v>
      </c>
      <c r="G18" s="4" t="s">
        <v>351</v>
      </c>
      <c r="H18" s="4" t="s">
        <v>69</v>
      </c>
      <c r="I18" s="4" t="s">
        <v>78</v>
      </c>
      <c r="J18" s="4" t="s">
        <v>79</v>
      </c>
      <c r="K18" s="5">
        <v>2</v>
      </c>
      <c r="L18" s="5" t="s">
        <v>16</v>
      </c>
      <c r="M18" s="5">
        <v>1</v>
      </c>
      <c r="N18" s="4" t="s">
        <v>80</v>
      </c>
      <c r="O18" s="5" t="s">
        <v>22</v>
      </c>
      <c r="P18" s="5" t="s">
        <v>20</v>
      </c>
      <c r="Q18" s="5" t="s">
        <v>19</v>
      </c>
    </row>
    <row r="19" spans="1:17" ht="52">
      <c r="A19" s="14" t="s">
        <v>94</v>
      </c>
      <c r="B19" s="19" t="s">
        <v>75</v>
      </c>
      <c r="C19" s="5" t="s">
        <v>25</v>
      </c>
      <c r="D19" s="5">
        <v>4</v>
      </c>
      <c r="E19" s="4" t="s">
        <v>352</v>
      </c>
      <c r="F19" s="4" t="s">
        <v>342</v>
      </c>
      <c r="G19" s="4" t="s">
        <v>353</v>
      </c>
      <c r="H19" s="4" t="s">
        <v>69</v>
      </c>
      <c r="I19" s="4" t="s">
        <v>78</v>
      </c>
      <c r="J19" s="4" t="s">
        <v>79</v>
      </c>
      <c r="K19" s="5">
        <v>2</v>
      </c>
      <c r="L19" s="5" t="s">
        <v>16</v>
      </c>
      <c r="M19" s="5">
        <v>1</v>
      </c>
      <c r="N19" s="4" t="s">
        <v>80</v>
      </c>
      <c r="O19" s="5" t="s">
        <v>17</v>
      </c>
      <c r="P19" s="5" t="s">
        <v>20</v>
      </c>
      <c r="Q19" s="5" t="s">
        <v>19</v>
      </c>
    </row>
    <row r="20" spans="1:17" ht="52">
      <c r="A20" s="14" t="s">
        <v>95</v>
      </c>
      <c r="B20" s="19" t="s">
        <v>75</v>
      </c>
      <c r="C20" s="5" t="s">
        <v>28</v>
      </c>
      <c r="D20" s="5">
        <v>4</v>
      </c>
      <c r="E20" s="4" t="s">
        <v>354</v>
      </c>
      <c r="F20" s="4" t="s">
        <v>342</v>
      </c>
      <c r="G20" s="4" t="s">
        <v>355</v>
      </c>
      <c r="H20" s="4" t="s">
        <v>335</v>
      </c>
      <c r="I20" s="4" t="s">
        <v>78</v>
      </c>
      <c r="J20" s="4" t="s">
        <v>79</v>
      </c>
      <c r="K20" s="5">
        <v>2</v>
      </c>
      <c r="L20" s="5" t="s">
        <v>16</v>
      </c>
      <c r="M20" s="5">
        <v>1</v>
      </c>
      <c r="N20" s="4" t="s">
        <v>80</v>
      </c>
      <c r="O20" s="5" t="s">
        <v>17</v>
      </c>
      <c r="P20" s="5" t="s">
        <v>20</v>
      </c>
      <c r="Q20" s="5" t="s">
        <v>19</v>
      </c>
    </row>
    <row r="21" spans="1:17" ht="52">
      <c r="A21" s="14" t="s">
        <v>96</v>
      </c>
      <c r="B21" s="19" t="s">
        <v>75</v>
      </c>
      <c r="C21" s="5" t="s">
        <v>29</v>
      </c>
      <c r="D21" s="5">
        <v>4</v>
      </c>
      <c r="E21" s="4" t="s">
        <v>356</v>
      </c>
      <c r="F21" s="4" t="s">
        <v>342</v>
      </c>
      <c r="G21" s="4" t="s">
        <v>357</v>
      </c>
      <c r="H21" s="4" t="s">
        <v>69</v>
      </c>
      <c r="I21" s="4" t="s">
        <v>78</v>
      </c>
      <c r="J21" s="4" t="s">
        <v>79</v>
      </c>
      <c r="K21" s="5">
        <v>2</v>
      </c>
      <c r="L21" s="5" t="s">
        <v>16</v>
      </c>
      <c r="M21" s="5">
        <v>1</v>
      </c>
      <c r="N21" s="4" t="s">
        <v>80</v>
      </c>
      <c r="O21" s="5" t="s">
        <v>17</v>
      </c>
      <c r="P21" s="5" t="s">
        <v>18</v>
      </c>
      <c r="Q21" s="5" t="s">
        <v>19</v>
      </c>
    </row>
    <row r="22" spans="1:17" ht="195">
      <c r="A22" s="14" t="s">
        <v>97</v>
      </c>
      <c r="B22" s="19" t="s">
        <v>33</v>
      </c>
      <c r="C22" s="5" t="s">
        <v>21</v>
      </c>
      <c r="D22" s="5">
        <v>5</v>
      </c>
      <c r="E22" s="4" t="s">
        <v>98</v>
      </c>
      <c r="F22" s="4" t="s">
        <v>59</v>
      </c>
      <c r="G22" s="4" t="s">
        <v>99</v>
      </c>
      <c r="H22" s="4" t="s">
        <v>49</v>
      </c>
      <c r="I22" s="4" t="s">
        <v>100</v>
      </c>
      <c r="J22" s="4" t="s">
        <v>101</v>
      </c>
      <c r="K22" s="5">
        <v>2</v>
      </c>
      <c r="L22" s="5" t="s">
        <v>16</v>
      </c>
      <c r="M22" s="5">
        <v>1</v>
      </c>
      <c r="N22" s="4" t="s">
        <v>102</v>
      </c>
      <c r="O22" s="5" t="s">
        <v>22</v>
      </c>
      <c r="P22" s="5" t="s">
        <v>23</v>
      </c>
      <c r="Q22" s="5" t="s">
        <v>19</v>
      </c>
    </row>
    <row r="23" spans="1:17" ht="195.5" thickBot="1">
      <c r="A23" s="14" t="s">
        <v>103</v>
      </c>
      <c r="B23" s="19" t="s">
        <v>33</v>
      </c>
      <c r="C23" s="5" t="s">
        <v>21</v>
      </c>
      <c r="D23" s="5">
        <v>4</v>
      </c>
      <c r="E23" s="4" t="s">
        <v>104</v>
      </c>
      <c r="F23" s="4" t="s">
        <v>63</v>
      </c>
      <c r="G23" s="4" t="s">
        <v>105</v>
      </c>
      <c r="H23" s="4" t="s">
        <v>49</v>
      </c>
      <c r="I23" s="4" t="s">
        <v>100</v>
      </c>
      <c r="J23" s="4" t="s">
        <v>101</v>
      </c>
      <c r="K23" s="5">
        <v>2</v>
      </c>
      <c r="L23" s="5" t="s">
        <v>16</v>
      </c>
      <c r="M23" s="5">
        <v>1</v>
      </c>
      <c r="N23" s="4" t="s">
        <v>102</v>
      </c>
      <c r="O23" s="5" t="s">
        <v>17</v>
      </c>
      <c r="P23" s="5" t="s">
        <v>23</v>
      </c>
      <c r="Q23" s="5" t="s">
        <v>19</v>
      </c>
    </row>
    <row r="24" spans="1:17" ht="182">
      <c r="A24" s="12" t="s">
        <v>106</v>
      </c>
      <c r="B24" s="18" t="s">
        <v>33</v>
      </c>
      <c r="C24" s="3" t="s">
        <v>21</v>
      </c>
      <c r="D24" s="3">
        <v>4</v>
      </c>
      <c r="E24" s="2" t="s">
        <v>107</v>
      </c>
      <c r="F24" s="2" t="s">
        <v>47</v>
      </c>
      <c r="G24" s="2" t="s">
        <v>108</v>
      </c>
      <c r="H24" s="2" t="s">
        <v>49</v>
      </c>
      <c r="I24" s="2" t="s">
        <v>100</v>
      </c>
      <c r="J24" s="2" t="s">
        <v>101</v>
      </c>
      <c r="K24" s="3">
        <v>2</v>
      </c>
      <c r="L24" s="3" t="s">
        <v>16</v>
      </c>
      <c r="M24" s="3">
        <v>1</v>
      </c>
      <c r="N24" s="2" t="s">
        <v>102</v>
      </c>
      <c r="O24" s="3" t="s">
        <v>17</v>
      </c>
      <c r="P24" s="3" t="s">
        <v>23</v>
      </c>
      <c r="Q24" s="3" t="s">
        <v>19</v>
      </c>
    </row>
    <row r="25" spans="1:17" ht="195">
      <c r="A25" s="14" t="s">
        <v>109</v>
      </c>
      <c r="B25" s="19" t="s">
        <v>33</v>
      </c>
      <c r="C25" s="5" t="s">
        <v>21</v>
      </c>
      <c r="D25" s="5">
        <v>5</v>
      </c>
      <c r="E25" s="4" t="s">
        <v>110</v>
      </c>
      <c r="F25" s="4" t="s">
        <v>55</v>
      </c>
      <c r="G25" s="4" t="s">
        <v>111</v>
      </c>
      <c r="H25" s="4" t="s">
        <v>49</v>
      </c>
      <c r="I25" s="4" t="s">
        <v>100</v>
      </c>
      <c r="J25" s="4" t="s">
        <v>101</v>
      </c>
      <c r="K25" s="5">
        <v>2</v>
      </c>
      <c r="L25" s="5" t="s">
        <v>16</v>
      </c>
      <c r="M25" s="5">
        <v>1</v>
      </c>
      <c r="N25" s="4" t="s">
        <v>102</v>
      </c>
      <c r="O25" s="5" t="s">
        <v>22</v>
      </c>
      <c r="P25" s="5" t="s">
        <v>23</v>
      </c>
      <c r="Q25" s="5" t="s">
        <v>19</v>
      </c>
    </row>
    <row r="26" spans="1:17" ht="182">
      <c r="A26" s="14" t="s">
        <v>112</v>
      </c>
      <c r="B26" s="19" t="s">
        <v>33</v>
      </c>
      <c r="C26" s="5" t="s">
        <v>21</v>
      </c>
      <c r="D26" s="5">
        <v>4</v>
      </c>
      <c r="E26" s="4" t="s">
        <v>113</v>
      </c>
      <c r="F26" s="4" t="s">
        <v>59</v>
      </c>
      <c r="G26" s="4" t="s">
        <v>114</v>
      </c>
      <c r="H26" s="4" t="s">
        <v>49</v>
      </c>
      <c r="I26" s="4" t="s">
        <v>100</v>
      </c>
      <c r="J26" s="4" t="s">
        <v>101</v>
      </c>
      <c r="K26" s="5">
        <v>2</v>
      </c>
      <c r="L26" s="5" t="s">
        <v>16</v>
      </c>
      <c r="M26" s="5">
        <v>1</v>
      </c>
      <c r="N26" s="4" t="s">
        <v>102</v>
      </c>
      <c r="O26" s="5" t="s">
        <v>17</v>
      </c>
      <c r="P26" s="5" t="s">
        <v>23</v>
      </c>
      <c r="Q26" s="5" t="s">
        <v>19</v>
      </c>
    </row>
    <row r="27" spans="1:17" ht="195.5" thickBot="1">
      <c r="A27" s="14" t="s">
        <v>115</v>
      </c>
      <c r="B27" s="19" t="s">
        <v>33</v>
      </c>
      <c r="C27" s="5" t="s">
        <v>21</v>
      </c>
      <c r="D27" s="5">
        <v>4</v>
      </c>
      <c r="E27" s="4" t="s">
        <v>116</v>
      </c>
      <c r="F27" s="4" t="s">
        <v>63</v>
      </c>
      <c r="G27" s="4" t="s">
        <v>117</v>
      </c>
      <c r="H27" s="4" t="s">
        <v>49</v>
      </c>
      <c r="I27" s="4" t="s">
        <v>100</v>
      </c>
      <c r="J27" s="4" t="s">
        <v>101</v>
      </c>
      <c r="K27" s="5">
        <v>2</v>
      </c>
      <c r="L27" s="5" t="s">
        <v>16</v>
      </c>
      <c r="M27" s="5">
        <v>1</v>
      </c>
      <c r="N27" s="4" t="s">
        <v>102</v>
      </c>
      <c r="O27" s="5" t="s">
        <v>17</v>
      </c>
      <c r="P27" s="5" t="s">
        <v>23</v>
      </c>
      <c r="Q27" s="5" t="s">
        <v>19</v>
      </c>
    </row>
    <row r="28" spans="1:17" ht="52">
      <c r="A28" s="12" t="s">
        <v>118</v>
      </c>
      <c r="B28" s="18" t="s">
        <v>33</v>
      </c>
      <c r="C28" s="3" t="s">
        <v>119</v>
      </c>
      <c r="D28" s="3">
        <v>5</v>
      </c>
      <c r="E28" s="2" t="s">
        <v>358</v>
      </c>
      <c r="F28" s="2" t="s">
        <v>342</v>
      </c>
      <c r="G28" s="2" t="s">
        <v>359</v>
      </c>
      <c r="H28" s="2" t="s">
        <v>69</v>
      </c>
      <c r="I28" s="2" t="s">
        <v>100</v>
      </c>
      <c r="J28" s="2" t="s">
        <v>101</v>
      </c>
      <c r="K28" s="3">
        <v>2</v>
      </c>
      <c r="L28" s="3" t="s">
        <v>16</v>
      </c>
      <c r="M28" s="3">
        <v>1</v>
      </c>
      <c r="N28" s="2" t="s">
        <v>102</v>
      </c>
      <c r="O28" s="3" t="s">
        <v>22</v>
      </c>
      <c r="P28" s="3" t="s">
        <v>20</v>
      </c>
      <c r="Q28" s="3" t="s">
        <v>19</v>
      </c>
    </row>
    <row r="29" spans="1:17" ht="52">
      <c r="A29" s="14" t="s">
        <v>120</v>
      </c>
      <c r="B29" s="19" t="s">
        <v>33</v>
      </c>
      <c r="C29" s="5" t="s">
        <v>28</v>
      </c>
      <c r="D29" s="5">
        <v>4</v>
      </c>
      <c r="E29" s="4" t="s">
        <v>360</v>
      </c>
      <c r="F29" s="4" t="s">
        <v>342</v>
      </c>
      <c r="G29" s="4" t="s">
        <v>361</v>
      </c>
      <c r="H29" s="4" t="s">
        <v>69</v>
      </c>
      <c r="I29" s="4" t="s">
        <v>100</v>
      </c>
      <c r="J29" s="4" t="s">
        <v>101</v>
      </c>
      <c r="K29" s="5">
        <v>2</v>
      </c>
      <c r="L29" s="5" t="s">
        <v>16</v>
      </c>
      <c r="M29" s="5">
        <v>1</v>
      </c>
      <c r="N29" s="4" t="s">
        <v>102</v>
      </c>
      <c r="O29" s="5" t="s">
        <v>17</v>
      </c>
      <c r="P29" s="5" t="s">
        <v>20</v>
      </c>
      <c r="Q29" s="5" t="s">
        <v>19</v>
      </c>
    </row>
    <row r="30" spans="1:17" ht="52">
      <c r="A30" s="14" t="s">
        <v>121</v>
      </c>
      <c r="B30" s="19" t="s">
        <v>33</v>
      </c>
      <c r="C30" s="5" t="s">
        <v>71</v>
      </c>
      <c r="D30" s="5">
        <v>4</v>
      </c>
      <c r="E30" s="4" t="s">
        <v>362</v>
      </c>
      <c r="F30" s="4" t="s">
        <v>342</v>
      </c>
      <c r="G30" s="4" t="s">
        <v>363</v>
      </c>
      <c r="H30" s="4" t="s">
        <v>69</v>
      </c>
      <c r="I30" s="4" t="s">
        <v>100</v>
      </c>
      <c r="J30" s="4" t="s">
        <v>101</v>
      </c>
      <c r="K30" s="5">
        <v>2</v>
      </c>
      <c r="L30" s="5" t="s">
        <v>16</v>
      </c>
      <c r="M30" s="5">
        <v>1</v>
      </c>
      <c r="N30" s="4" t="s">
        <v>102</v>
      </c>
      <c r="O30" s="5" t="s">
        <v>17</v>
      </c>
      <c r="P30" s="5" t="s">
        <v>20</v>
      </c>
      <c r="Q30" s="5" t="s">
        <v>19</v>
      </c>
    </row>
    <row r="31" spans="1:17" ht="52">
      <c r="A31" s="14" t="s">
        <v>122</v>
      </c>
      <c r="B31" s="19" t="s">
        <v>33</v>
      </c>
      <c r="C31" s="5" t="s">
        <v>26</v>
      </c>
      <c r="D31" s="5">
        <v>4</v>
      </c>
      <c r="E31" s="4" t="s">
        <v>364</v>
      </c>
      <c r="F31" s="4" t="s">
        <v>342</v>
      </c>
      <c r="G31" s="4" t="s">
        <v>365</v>
      </c>
      <c r="H31" s="4" t="s">
        <v>69</v>
      </c>
      <c r="I31" s="4" t="s">
        <v>100</v>
      </c>
      <c r="J31" s="4" t="s">
        <v>101</v>
      </c>
      <c r="K31" s="5">
        <v>2</v>
      </c>
      <c r="L31" s="5" t="s">
        <v>16</v>
      </c>
      <c r="M31" s="5">
        <v>1</v>
      </c>
      <c r="N31" s="4" t="s">
        <v>102</v>
      </c>
      <c r="O31" s="5" t="s">
        <v>17</v>
      </c>
      <c r="P31" s="5" t="s">
        <v>20</v>
      </c>
      <c r="Q31" s="5" t="s">
        <v>19</v>
      </c>
    </row>
    <row r="32" spans="1:17" ht="182">
      <c r="A32" s="14" t="s">
        <v>123</v>
      </c>
      <c r="B32" s="19" t="s">
        <v>124</v>
      </c>
      <c r="C32" s="5" t="s">
        <v>21</v>
      </c>
      <c r="D32" s="5">
        <v>5</v>
      </c>
      <c r="E32" s="4" t="s">
        <v>125</v>
      </c>
      <c r="F32" s="4" t="s">
        <v>55</v>
      </c>
      <c r="G32" s="4" t="s">
        <v>126</v>
      </c>
      <c r="H32" s="4" t="s">
        <v>49</v>
      </c>
      <c r="I32" s="4" t="s">
        <v>127</v>
      </c>
      <c r="J32" s="4" t="s">
        <v>128</v>
      </c>
      <c r="K32" s="5">
        <v>2</v>
      </c>
      <c r="L32" s="5" t="s">
        <v>16</v>
      </c>
      <c r="M32" s="5">
        <v>1</v>
      </c>
      <c r="N32" s="4" t="s">
        <v>129</v>
      </c>
      <c r="O32" s="5" t="s">
        <v>22</v>
      </c>
      <c r="P32" s="5" t="s">
        <v>23</v>
      </c>
      <c r="Q32" s="5" t="s">
        <v>19</v>
      </c>
    </row>
    <row r="33" spans="1:17" ht="195">
      <c r="A33" s="14" t="s">
        <v>130</v>
      </c>
      <c r="B33" s="19" t="s">
        <v>124</v>
      </c>
      <c r="C33" s="5" t="s">
        <v>21</v>
      </c>
      <c r="D33" s="5">
        <v>4</v>
      </c>
      <c r="E33" s="4" t="s">
        <v>131</v>
      </c>
      <c r="F33" s="4" t="s">
        <v>59</v>
      </c>
      <c r="G33" s="4" t="s">
        <v>132</v>
      </c>
      <c r="H33" s="4" t="s">
        <v>49</v>
      </c>
      <c r="I33" s="4" t="s">
        <v>127</v>
      </c>
      <c r="J33" s="4" t="s">
        <v>128</v>
      </c>
      <c r="K33" s="5">
        <v>2</v>
      </c>
      <c r="L33" s="5" t="s">
        <v>16</v>
      </c>
      <c r="M33" s="5">
        <v>1</v>
      </c>
      <c r="N33" s="4" t="s">
        <v>129</v>
      </c>
      <c r="O33" s="5" t="s">
        <v>17</v>
      </c>
      <c r="P33" s="5" t="s">
        <v>23</v>
      </c>
      <c r="Q33" s="5" t="s">
        <v>19</v>
      </c>
    </row>
    <row r="34" spans="1:17" ht="182.5" thickBot="1">
      <c r="A34" s="14" t="s">
        <v>133</v>
      </c>
      <c r="B34" s="19" t="s">
        <v>124</v>
      </c>
      <c r="C34" s="5" t="s">
        <v>21</v>
      </c>
      <c r="D34" s="5">
        <v>4</v>
      </c>
      <c r="E34" s="4" t="s">
        <v>134</v>
      </c>
      <c r="F34" s="4" t="s">
        <v>63</v>
      </c>
      <c r="G34" s="4" t="s">
        <v>135</v>
      </c>
      <c r="H34" s="4" t="s">
        <v>49</v>
      </c>
      <c r="I34" s="4" t="s">
        <v>127</v>
      </c>
      <c r="J34" s="4" t="s">
        <v>128</v>
      </c>
      <c r="K34" s="5">
        <v>2</v>
      </c>
      <c r="L34" s="5" t="s">
        <v>16</v>
      </c>
      <c r="M34" s="5">
        <v>1</v>
      </c>
      <c r="N34" s="4" t="s">
        <v>129</v>
      </c>
      <c r="O34" s="5" t="s">
        <v>17</v>
      </c>
      <c r="P34" s="5" t="s">
        <v>23</v>
      </c>
      <c r="Q34" s="5" t="s">
        <v>19</v>
      </c>
    </row>
    <row r="35" spans="1:17" ht="195">
      <c r="A35" s="12" t="s">
        <v>136</v>
      </c>
      <c r="B35" s="18" t="s">
        <v>124</v>
      </c>
      <c r="C35" s="3" t="s">
        <v>21</v>
      </c>
      <c r="D35" s="3">
        <v>5</v>
      </c>
      <c r="E35" s="2" t="s">
        <v>137</v>
      </c>
      <c r="F35" s="2" t="s">
        <v>47</v>
      </c>
      <c r="G35" s="2" t="s">
        <v>138</v>
      </c>
      <c r="H35" s="2" t="s">
        <v>49</v>
      </c>
      <c r="I35" s="2" t="s">
        <v>127</v>
      </c>
      <c r="J35" s="2" t="s">
        <v>128</v>
      </c>
      <c r="K35" s="3">
        <v>2</v>
      </c>
      <c r="L35" s="3" t="s">
        <v>16</v>
      </c>
      <c r="M35" s="3">
        <v>1</v>
      </c>
      <c r="N35" s="2" t="s">
        <v>129</v>
      </c>
      <c r="O35" s="3" t="s">
        <v>22</v>
      </c>
      <c r="P35" s="3" t="s">
        <v>23</v>
      </c>
      <c r="Q35" s="3" t="s">
        <v>19</v>
      </c>
    </row>
    <row r="36" spans="1:17" ht="195">
      <c r="A36" s="14" t="s">
        <v>139</v>
      </c>
      <c r="B36" s="19" t="s">
        <v>124</v>
      </c>
      <c r="C36" s="5" t="s">
        <v>21</v>
      </c>
      <c r="D36" s="5">
        <v>4</v>
      </c>
      <c r="E36" s="4" t="s">
        <v>140</v>
      </c>
      <c r="F36" s="4" t="s">
        <v>55</v>
      </c>
      <c r="G36" s="4" t="s">
        <v>141</v>
      </c>
      <c r="H36" s="4" t="s">
        <v>49</v>
      </c>
      <c r="I36" s="4" t="s">
        <v>127</v>
      </c>
      <c r="J36" s="4" t="s">
        <v>128</v>
      </c>
      <c r="K36" s="5">
        <v>2</v>
      </c>
      <c r="L36" s="5" t="s">
        <v>16</v>
      </c>
      <c r="M36" s="5">
        <v>1</v>
      </c>
      <c r="N36" s="4" t="s">
        <v>129</v>
      </c>
      <c r="O36" s="5" t="s">
        <v>17</v>
      </c>
      <c r="P36" s="5" t="s">
        <v>23</v>
      </c>
      <c r="Q36" s="5" t="s">
        <v>19</v>
      </c>
    </row>
    <row r="37" spans="1:17" ht="195">
      <c r="A37" s="14" t="s">
        <v>142</v>
      </c>
      <c r="B37" s="19" t="s">
        <v>124</v>
      </c>
      <c r="C37" s="5" t="s">
        <v>21</v>
      </c>
      <c r="D37" s="5">
        <v>4</v>
      </c>
      <c r="E37" s="4" t="s">
        <v>143</v>
      </c>
      <c r="F37" s="4" t="s">
        <v>59</v>
      </c>
      <c r="G37" s="4" t="s">
        <v>144</v>
      </c>
      <c r="H37" s="4" t="s">
        <v>49</v>
      </c>
      <c r="I37" s="4" t="s">
        <v>127</v>
      </c>
      <c r="J37" s="4" t="s">
        <v>128</v>
      </c>
      <c r="K37" s="5">
        <v>2</v>
      </c>
      <c r="L37" s="5" t="s">
        <v>16</v>
      </c>
      <c r="M37" s="5">
        <v>1</v>
      </c>
      <c r="N37" s="4" t="s">
        <v>129</v>
      </c>
      <c r="O37" s="5" t="s">
        <v>17</v>
      </c>
      <c r="P37" s="5" t="s">
        <v>23</v>
      </c>
      <c r="Q37" s="5" t="s">
        <v>19</v>
      </c>
    </row>
    <row r="38" spans="1:17" ht="52">
      <c r="A38" s="14" t="s">
        <v>145</v>
      </c>
      <c r="B38" s="19" t="s">
        <v>124</v>
      </c>
      <c r="C38" s="5" t="s">
        <v>146</v>
      </c>
      <c r="D38" s="5">
        <v>5</v>
      </c>
      <c r="E38" s="4" t="s">
        <v>366</v>
      </c>
      <c r="F38" s="4" t="s">
        <v>342</v>
      </c>
      <c r="G38" s="4" t="s">
        <v>367</v>
      </c>
      <c r="H38" s="4" t="s">
        <v>69</v>
      </c>
      <c r="I38" s="4" t="s">
        <v>127</v>
      </c>
      <c r="J38" s="4" t="s">
        <v>128</v>
      </c>
      <c r="K38" s="5">
        <v>2</v>
      </c>
      <c r="L38" s="5" t="s">
        <v>16</v>
      </c>
      <c r="M38" s="5">
        <v>1</v>
      </c>
      <c r="N38" s="4" t="s">
        <v>129</v>
      </c>
      <c r="O38" s="5" t="s">
        <v>22</v>
      </c>
      <c r="P38" s="5" t="s">
        <v>20</v>
      </c>
      <c r="Q38" s="5" t="s">
        <v>19</v>
      </c>
    </row>
    <row r="39" spans="1:17" ht="52">
      <c r="A39" s="14" t="s">
        <v>147</v>
      </c>
      <c r="B39" s="19" t="s">
        <v>124</v>
      </c>
      <c r="C39" s="5" t="s">
        <v>27</v>
      </c>
      <c r="D39" s="5">
        <v>4</v>
      </c>
      <c r="E39" s="4" t="s">
        <v>368</v>
      </c>
      <c r="F39" s="4" t="s">
        <v>342</v>
      </c>
      <c r="G39" s="4" t="s">
        <v>369</v>
      </c>
      <c r="H39" s="4" t="s">
        <v>69</v>
      </c>
      <c r="I39" s="4" t="s">
        <v>127</v>
      </c>
      <c r="J39" s="4" t="s">
        <v>128</v>
      </c>
      <c r="K39" s="5">
        <v>2</v>
      </c>
      <c r="L39" s="5" t="s">
        <v>16</v>
      </c>
      <c r="M39" s="5">
        <v>1</v>
      </c>
      <c r="N39" s="4" t="s">
        <v>129</v>
      </c>
      <c r="O39" s="5" t="s">
        <v>17</v>
      </c>
      <c r="P39" s="5" t="s">
        <v>20</v>
      </c>
      <c r="Q39" s="5" t="s">
        <v>19</v>
      </c>
    </row>
    <row r="40" spans="1:17" ht="52">
      <c r="A40" s="14" t="s">
        <v>148</v>
      </c>
      <c r="B40" s="19" t="s">
        <v>124</v>
      </c>
      <c r="C40" s="5" t="s">
        <v>28</v>
      </c>
      <c r="D40" s="5">
        <v>4</v>
      </c>
      <c r="E40" s="4" t="s">
        <v>370</v>
      </c>
      <c r="F40" s="4" t="s">
        <v>342</v>
      </c>
      <c r="G40" s="4" t="s">
        <v>371</v>
      </c>
      <c r="H40" s="4" t="s">
        <v>69</v>
      </c>
      <c r="I40" s="4" t="s">
        <v>127</v>
      </c>
      <c r="J40" s="4" t="s">
        <v>128</v>
      </c>
      <c r="K40" s="5">
        <v>2</v>
      </c>
      <c r="L40" s="5" t="s">
        <v>16</v>
      </c>
      <c r="M40" s="5">
        <v>1</v>
      </c>
      <c r="N40" s="4" t="s">
        <v>129</v>
      </c>
      <c r="O40" s="5" t="s">
        <v>17</v>
      </c>
      <c r="P40" s="5" t="s">
        <v>20</v>
      </c>
      <c r="Q40" s="5" t="s">
        <v>19</v>
      </c>
    </row>
    <row r="41" spans="1:17" ht="52.5" thickBot="1">
      <c r="A41" s="14" t="s">
        <v>149</v>
      </c>
      <c r="B41" s="19" t="s">
        <v>124</v>
      </c>
      <c r="C41" s="5" t="s">
        <v>150</v>
      </c>
      <c r="D41" s="5">
        <v>4</v>
      </c>
      <c r="E41" s="4" t="s">
        <v>372</v>
      </c>
      <c r="F41" s="4" t="s">
        <v>342</v>
      </c>
      <c r="G41" s="4" t="s">
        <v>373</v>
      </c>
      <c r="H41" s="4" t="s">
        <v>69</v>
      </c>
      <c r="I41" s="4" t="s">
        <v>127</v>
      </c>
      <c r="J41" s="4" t="s">
        <v>128</v>
      </c>
      <c r="K41" s="5">
        <v>2</v>
      </c>
      <c r="L41" s="5" t="s">
        <v>16</v>
      </c>
      <c r="M41" s="5">
        <v>1</v>
      </c>
      <c r="N41" s="4" t="s">
        <v>129</v>
      </c>
      <c r="O41" s="5" t="s">
        <v>17</v>
      </c>
      <c r="P41" s="5" t="s">
        <v>18</v>
      </c>
      <c r="Q41" s="5" t="s">
        <v>19</v>
      </c>
    </row>
    <row r="42" spans="1:17" ht="195">
      <c r="A42" s="12" t="s">
        <v>151</v>
      </c>
      <c r="B42" s="18" t="s">
        <v>152</v>
      </c>
      <c r="C42" s="3" t="s">
        <v>21</v>
      </c>
      <c r="D42" s="3">
        <v>5</v>
      </c>
      <c r="E42" s="2" t="s">
        <v>153</v>
      </c>
      <c r="F42" s="2" t="s">
        <v>47</v>
      </c>
      <c r="G42" s="2" t="s">
        <v>154</v>
      </c>
      <c r="H42" s="2" t="s">
        <v>49</v>
      </c>
      <c r="I42" s="2" t="s">
        <v>155</v>
      </c>
      <c r="J42" s="2" t="s">
        <v>156</v>
      </c>
      <c r="K42" s="3">
        <v>2</v>
      </c>
      <c r="L42" s="3" t="s">
        <v>16</v>
      </c>
      <c r="M42" s="3">
        <v>1</v>
      </c>
      <c r="N42" s="2" t="s">
        <v>157</v>
      </c>
      <c r="O42" s="3" t="s">
        <v>22</v>
      </c>
      <c r="P42" s="3" t="s">
        <v>23</v>
      </c>
      <c r="Q42" s="3" t="s">
        <v>19</v>
      </c>
    </row>
    <row r="43" spans="1:17" ht="195">
      <c r="A43" s="14" t="s">
        <v>158</v>
      </c>
      <c r="B43" s="19" t="s">
        <v>152</v>
      </c>
      <c r="C43" s="5" t="s">
        <v>21</v>
      </c>
      <c r="D43" s="5">
        <v>4</v>
      </c>
      <c r="E43" s="4" t="s">
        <v>159</v>
      </c>
      <c r="F43" s="4" t="s">
        <v>55</v>
      </c>
      <c r="G43" s="4" t="s">
        <v>160</v>
      </c>
      <c r="H43" s="4" t="s">
        <v>49</v>
      </c>
      <c r="I43" s="4" t="s">
        <v>155</v>
      </c>
      <c r="J43" s="4" t="s">
        <v>156</v>
      </c>
      <c r="K43" s="5">
        <v>2</v>
      </c>
      <c r="L43" s="5" t="s">
        <v>16</v>
      </c>
      <c r="M43" s="5">
        <v>1</v>
      </c>
      <c r="N43" s="4" t="s">
        <v>157</v>
      </c>
      <c r="O43" s="5" t="s">
        <v>17</v>
      </c>
      <c r="P43" s="5" t="s">
        <v>23</v>
      </c>
      <c r="Q43" s="5" t="s">
        <v>19</v>
      </c>
    </row>
    <row r="44" spans="1:17" ht="195">
      <c r="A44" s="14" t="s">
        <v>161</v>
      </c>
      <c r="B44" s="19" t="s">
        <v>152</v>
      </c>
      <c r="C44" s="5" t="s">
        <v>21</v>
      </c>
      <c r="D44" s="5">
        <v>4</v>
      </c>
      <c r="E44" s="4" t="s">
        <v>162</v>
      </c>
      <c r="F44" s="4" t="s">
        <v>59</v>
      </c>
      <c r="G44" s="4" t="s">
        <v>163</v>
      </c>
      <c r="H44" s="4" t="s">
        <v>49</v>
      </c>
      <c r="I44" s="4" t="s">
        <v>155</v>
      </c>
      <c r="J44" s="4" t="s">
        <v>156</v>
      </c>
      <c r="K44" s="5">
        <v>2</v>
      </c>
      <c r="L44" s="5" t="s">
        <v>16</v>
      </c>
      <c r="M44" s="5">
        <v>1</v>
      </c>
      <c r="N44" s="4" t="s">
        <v>157</v>
      </c>
      <c r="O44" s="5" t="s">
        <v>17</v>
      </c>
      <c r="P44" s="5" t="s">
        <v>23</v>
      </c>
      <c r="Q44" s="5" t="s">
        <v>19</v>
      </c>
    </row>
    <row r="45" spans="1:17" ht="195">
      <c r="A45" s="14" t="s">
        <v>164</v>
      </c>
      <c r="B45" s="19" t="s">
        <v>152</v>
      </c>
      <c r="C45" s="5" t="s">
        <v>21</v>
      </c>
      <c r="D45" s="5">
        <v>5</v>
      </c>
      <c r="E45" s="4" t="s">
        <v>165</v>
      </c>
      <c r="F45" s="4" t="s">
        <v>63</v>
      </c>
      <c r="G45" s="4" t="s">
        <v>166</v>
      </c>
      <c r="H45" s="4" t="s">
        <v>49</v>
      </c>
      <c r="I45" s="4" t="s">
        <v>155</v>
      </c>
      <c r="J45" s="4" t="s">
        <v>156</v>
      </c>
      <c r="K45" s="5">
        <v>2</v>
      </c>
      <c r="L45" s="5" t="s">
        <v>16</v>
      </c>
      <c r="M45" s="5">
        <v>1</v>
      </c>
      <c r="N45" s="4" t="s">
        <v>157</v>
      </c>
      <c r="O45" s="5" t="s">
        <v>22</v>
      </c>
      <c r="P45" s="5" t="s">
        <v>23</v>
      </c>
      <c r="Q45" s="5" t="s">
        <v>19</v>
      </c>
    </row>
    <row r="46" spans="1:17" ht="195">
      <c r="A46" s="14" t="s">
        <v>167</v>
      </c>
      <c r="B46" s="19" t="s">
        <v>152</v>
      </c>
      <c r="C46" s="5" t="s">
        <v>21</v>
      </c>
      <c r="D46" s="5">
        <v>4</v>
      </c>
      <c r="E46" s="4" t="s">
        <v>168</v>
      </c>
      <c r="F46" s="4" t="s">
        <v>47</v>
      </c>
      <c r="G46" s="4" t="s">
        <v>169</v>
      </c>
      <c r="H46" s="4" t="s">
        <v>49</v>
      </c>
      <c r="I46" s="4" t="s">
        <v>155</v>
      </c>
      <c r="J46" s="4" t="s">
        <v>156</v>
      </c>
      <c r="K46" s="5">
        <v>2</v>
      </c>
      <c r="L46" s="5" t="s">
        <v>16</v>
      </c>
      <c r="M46" s="5">
        <v>1</v>
      </c>
      <c r="N46" s="4" t="s">
        <v>157</v>
      </c>
      <c r="O46" s="5" t="s">
        <v>17</v>
      </c>
      <c r="P46" s="5" t="s">
        <v>23</v>
      </c>
      <c r="Q46" s="5" t="s">
        <v>19</v>
      </c>
    </row>
    <row r="47" spans="1:17" ht="195">
      <c r="A47" s="14" t="s">
        <v>170</v>
      </c>
      <c r="B47" s="19" t="s">
        <v>152</v>
      </c>
      <c r="C47" s="5" t="s">
        <v>21</v>
      </c>
      <c r="D47" s="5">
        <v>4</v>
      </c>
      <c r="E47" s="4" t="s">
        <v>171</v>
      </c>
      <c r="F47" s="4" t="s">
        <v>55</v>
      </c>
      <c r="G47" s="4" t="s">
        <v>172</v>
      </c>
      <c r="H47" s="4" t="s">
        <v>49</v>
      </c>
      <c r="I47" s="4" t="s">
        <v>155</v>
      </c>
      <c r="J47" s="4" t="s">
        <v>156</v>
      </c>
      <c r="K47" s="5">
        <v>2</v>
      </c>
      <c r="L47" s="5" t="s">
        <v>16</v>
      </c>
      <c r="M47" s="5">
        <v>1</v>
      </c>
      <c r="N47" s="4" t="s">
        <v>157</v>
      </c>
      <c r="O47" s="5" t="s">
        <v>17</v>
      </c>
      <c r="P47" s="5" t="s">
        <v>23</v>
      </c>
      <c r="Q47" s="5" t="s">
        <v>19</v>
      </c>
    </row>
    <row r="48" spans="1:17" ht="52">
      <c r="A48" s="14" t="s">
        <v>173</v>
      </c>
      <c r="B48" s="19" t="s">
        <v>152</v>
      </c>
      <c r="C48" s="5" t="s">
        <v>174</v>
      </c>
      <c r="D48" s="5">
        <v>5</v>
      </c>
      <c r="E48" s="4" t="s">
        <v>374</v>
      </c>
      <c r="F48" s="4" t="s">
        <v>342</v>
      </c>
      <c r="G48" s="4" t="s">
        <v>375</v>
      </c>
      <c r="H48" s="4" t="s">
        <v>69</v>
      </c>
      <c r="I48" s="4" t="s">
        <v>155</v>
      </c>
      <c r="J48" s="4" t="s">
        <v>156</v>
      </c>
      <c r="K48" s="5">
        <v>2</v>
      </c>
      <c r="L48" s="5" t="s">
        <v>16</v>
      </c>
      <c r="M48" s="5">
        <v>1</v>
      </c>
      <c r="N48" s="4" t="s">
        <v>157</v>
      </c>
      <c r="O48" s="5" t="s">
        <v>22</v>
      </c>
      <c r="P48" s="5" t="s">
        <v>20</v>
      </c>
      <c r="Q48" s="5" t="s">
        <v>19</v>
      </c>
    </row>
    <row r="49" spans="1:17" ht="52">
      <c r="A49" s="14" t="s">
        <v>175</v>
      </c>
      <c r="B49" s="19" t="s">
        <v>152</v>
      </c>
      <c r="C49" s="5" t="s">
        <v>28</v>
      </c>
      <c r="D49" s="5">
        <v>4</v>
      </c>
      <c r="E49" s="4" t="s">
        <v>376</v>
      </c>
      <c r="F49" s="4" t="s">
        <v>342</v>
      </c>
      <c r="G49" s="4" t="s">
        <v>377</v>
      </c>
      <c r="H49" s="4" t="s">
        <v>69</v>
      </c>
      <c r="I49" s="4" t="s">
        <v>155</v>
      </c>
      <c r="J49" s="4" t="s">
        <v>156</v>
      </c>
      <c r="K49" s="5">
        <v>2</v>
      </c>
      <c r="L49" s="5" t="s">
        <v>16</v>
      </c>
      <c r="M49" s="5">
        <v>1</v>
      </c>
      <c r="N49" s="4" t="s">
        <v>157</v>
      </c>
      <c r="O49" s="5" t="s">
        <v>17</v>
      </c>
      <c r="P49" s="5" t="s">
        <v>20</v>
      </c>
      <c r="Q49" s="5" t="s">
        <v>19</v>
      </c>
    </row>
    <row r="50" spans="1:17" ht="52">
      <c r="A50" s="14" t="s">
        <v>176</v>
      </c>
      <c r="B50" s="19" t="s">
        <v>152</v>
      </c>
      <c r="C50" s="5" t="s">
        <v>27</v>
      </c>
      <c r="D50" s="5">
        <v>4</v>
      </c>
      <c r="E50" s="4" t="s">
        <v>378</v>
      </c>
      <c r="F50" s="4" t="s">
        <v>342</v>
      </c>
      <c r="G50" s="4" t="s">
        <v>379</v>
      </c>
      <c r="H50" s="4" t="s">
        <v>69</v>
      </c>
      <c r="I50" s="4" t="s">
        <v>155</v>
      </c>
      <c r="J50" s="4" t="s">
        <v>156</v>
      </c>
      <c r="K50" s="5">
        <v>2</v>
      </c>
      <c r="L50" s="5" t="s">
        <v>16</v>
      </c>
      <c r="M50" s="5">
        <v>1</v>
      </c>
      <c r="N50" s="4" t="s">
        <v>157</v>
      </c>
      <c r="O50" s="5" t="s">
        <v>17</v>
      </c>
      <c r="P50" s="5" t="s">
        <v>20</v>
      </c>
      <c r="Q50" s="5" t="s">
        <v>19</v>
      </c>
    </row>
    <row r="51" spans="1:17" ht="52">
      <c r="A51" s="14" t="s">
        <v>177</v>
      </c>
      <c r="B51" s="19" t="s">
        <v>152</v>
      </c>
      <c r="C51" s="5" t="s">
        <v>26</v>
      </c>
      <c r="D51" s="5">
        <v>4</v>
      </c>
      <c r="E51" s="4" t="s">
        <v>380</v>
      </c>
      <c r="F51" s="4" t="s">
        <v>342</v>
      </c>
      <c r="G51" s="4" t="s">
        <v>381</v>
      </c>
      <c r="H51" s="4" t="s">
        <v>69</v>
      </c>
      <c r="I51" s="4" t="s">
        <v>155</v>
      </c>
      <c r="J51" s="4" t="s">
        <v>156</v>
      </c>
      <c r="K51" s="5">
        <v>2</v>
      </c>
      <c r="L51" s="5" t="s">
        <v>16</v>
      </c>
      <c r="M51" s="5">
        <v>1</v>
      </c>
      <c r="N51" s="4" t="s">
        <v>157</v>
      </c>
      <c r="O51" s="5" t="s">
        <v>17</v>
      </c>
      <c r="P51" s="5" t="s">
        <v>20</v>
      </c>
      <c r="Q51" s="5" t="s">
        <v>19</v>
      </c>
    </row>
    <row r="52" spans="1:17" ht="182">
      <c r="A52" s="14" t="s">
        <v>178</v>
      </c>
      <c r="B52" s="19" t="s">
        <v>35</v>
      </c>
      <c r="C52" s="5" t="s">
        <v>21</v>
      </c>
      <c r="D52" s="5">
        <v>5</v>
      </c>
      <c r="E52" s="4" t="s">
        <v>179</v>
      </c>
      <c r="F52" s="4" t="s">
        <v>63</v>
      </c>
      <c r="G52" s="4" t="s">
        <v>180</v>
      </c>
      <c r="H52" s="4" t="s">
        <v>49</v>
      </c>
      <c r="I52" s="4" t="s">
        <v>181</v>
      </c>
      <c r="J52" s="4" t="s">
        <v>182</v>
      </c>
      <c r="K52" s="5">
        <v>2</v>
      </c>
      <c r="L52" s="5" t="s">
        <v>16</v>
      </c>
      <c r="M52" s="5">
        <v>1</v>
      </c>
      <c r="N52" s="4" t="s">
        <v>183</v>
      </c>
      <c r="O52" s="5" t="s">
        <v>22</v>
      </c>
      <c r="P52" s="5" t="s">
        <v>23</v>
      </c>
      <c r="Q52" s="5" t="s">
        <v>19</v>
      </c>
    </row>
    <row r="53" spans="1:17" ht="195.5" thickBot="1">
      <c r="A53" s="14" t="s">
        <v>184</v>
      </c>
      <c r="B53" s="19" t="s">
        <v>35</v>
      </c>
      <c r="C53" s="5" t="s">
        <v>21</v>
      </c>
      <c r="D53" s="5">
        <v>4</v>
      </c>
      <c r="E53" s="4" t="s">
        <v>185</v>
      </c>
      <c r="F53" s="4" t="s">
        <v>47</v>
      </c>
      <c r="G53" s="4" t="s">
        <v>186</v>
      </c>
      <c r="H53" s="4" t="s">
        <v>49</v>
      </c>
      <c r="I53" s="4" t="s">
        <v>181</v>
      </c>
      <c r="J53" s="4" t="s">
        <v>182</v>
      </c>
      <c r="K53" s="5">
        <v>2</v>
      </c>
      <c r="L53" s="5" t="s">
        <v>16</v>
      </c>
      <c r="M53" s="5">
        <v>1</v>
      </c>
      <c r="N53" s="4" t="s">
        <v>183</v>
      </c>
      <c r="O53" s="5" t="s">
        <v>17</v>
      </c>
      <c r="P53" s="5" t="s">
        <v>23</v>
      </c>
      <c r="Q53" s="5" t="s">
        <v>19</v>
      </c>
    </row>
    <row r="54" spans="1:17" ht="182">
      <c r="A54" s="12" t="s">
        <v>187</v>
      </c>
      <c r="B54" s="18" t="s">
        <v>35</v>
      </c>
      <c r="C54" s="3" t="s">
        <v>21</v>
      </c>
      <c r="D54" s="3">
        <v>4</v>
      </c>
      <c r="E54" s="2" t="s">
        <v>188</v>
      </c>
      <c r="F54" s="2" t="s">
        <v>55</v>
      </c>
      <c r="G54" s="2" t="s">
        <v>189</v>
      </c>
      <c r="H54" s="2" t="s">
        <v>49</v>
      </c>
      <c r="I54" s="2" t="s">
        <v>181</v>
      </c>
      <c r="J54" s="2" t="s">
        <v>182</v>
      </c>
      <c r="K54" s="3">
        <v>2</v>
      </c>
      <c r="L54" s="3" t="s">
        <v>16</v>
      </c>
      <c r="M54" s="3">
        <v>1</v>
      </c>
      <c r="N54" s="2" t="s">
        <v>183</v>
      </c>
      <c r="O54" s="3" t="s">
        <v>17</v>
      </c>
      <c r="P54" s="3" t="s">
        <v>23</v>
      </c>
      <c r="Q54" s="3" t="s">
        <v>19</v>
      </c>
    </row>
    <row r="55" spans="1:17" ht="182">
      <c r="A55" s="14" t="s">
        <v>190</v>
      </c>
      <c r="B55" s="19" t="s">
        <v>35</v>
      </c>
      <c r="C55" s="5" t="s">
        <v>21</v>
      </c>
      <c r="D55" s="5">
        <v>5</v>
      </c>
      <c r="E55" s="4" t="s">
        <v>191</v>
      </c>
      <c r="F55" s="4" t="s">
        <v>59</v>
      </c>
      <c r="G55" s="4" t="s">
        <v>192</v>
      </c>
      <c r="H55" s="4" t="s">
        <v>49</v>
      </c>
      <c r="I55" s="4" t="s">
        <v>181</v>
      </c>
      <c r="J55" s="4" t="s">
        <v>182</v>
      </c>
      <c r="K55" s="5">
        <v>2</v>
      </c>
      <c r="L55" s="5" t="s">
        <v>16</v>
      </c>
      <c r="M55" s="5">
        <v>1</v>
      </c>
      <c r="N55" s="4" t="s">
        <v>183</v>
      </c>
      <c r="O55" s="5" t="s">
        <v>22</v>
      </c>
      <c r="P55" s="5" t="s">
        <v>23</v>
      </c>
      <c r="Q55" s="5" t="s">
        <v>19</v>
      </c>
    </row>
    <row r="56" spans="1:17" ht="195">
      <c r="A56" s="14" t="s">
        <v>193</v>
      </c>
      <c r="B56" s="19" t="s">
        <v>35</v>
      </c>
      <c r="C56" s="5" t="s">
        <v>21</v>
      </c>
      <c r="D56" s="5">
        <v>4</v>
      </c>
      <c r="E56" s="4" t="s">
        <v>194</v>
      </c>
      <c r="F56" s="4" t="s">
        <v>63</v>
      </c>
      <c r="G56" s="4" t="s">
        <v>195</v>
      </c>
      <c r="H56" s="4" t="s">
        <v>49</v>
      </c>
      <c r="I56" s="4" t="s">
        <v>181</v>
      </c>
      <c r="J56" s="4" t="s">
        <v>182</v>
      </c>
      <c r="K56" s="5">
        <v>2</v>
      </c>
      <c r="L56" s="5" t="s">
        <v>16</v>
      </c>
      <c r="M56" s="5">
        <v>1</v>
      </c>
      <c r="N56" s="4" t="s">
        <v>183</v>
      </c>
      <c r="O56" s="5" t="s">
        <v>17</v>
      </c>
      <c r="P56" s="5" t="s">
        <v>23</v>
      </c>
      <c r="Q56" s="5" t="s">
        <v>19</v>
      </c>
    </row>
    <row r="57" spans="1:17" ht="195">
      <c r="A57" s="14" t="s">
        <v>196</v>
      </c>
      <c r="B57" s="19" t="s">
        <v>35</v>
      </c>
      <c r="C57" s="5" t="s">
        <v>21</v>
      </c>
      <c r="D57" s="5">
        <v>4</v>
      </c>
      <c r="E57" s="4" t="s">
        <v>197</v>
      </c>
      <c r="F57" s="4" t="s">
        <v>47</v>
      </c>
      <c r="G57" s="4" t="s">
        <v>198</v>
      </c>
      <c r="H57" s="4" t="s">
        <v>49</v>
      </c>
      <c r="I57" s="4" t="s">
        <v>181</v>
      </c>
      <c r="J57" s="4" t="s">
        <v>182</v>
      </c>
      <c r="K57" s="5">
        <v>2</v>
      </c>
      <c r="L57" s="5" t="s">
        <v>16</v>
      </c>
      <c r="M57" s="5">
        <v>1</v>
      </c>
      <c r="N57" s="4" t="s">
        <v>183</v>
      </c>
      <c r="O57" s="5" t="s">
        <v>17</v>
      </c>
      <c r="P57" s="5" t="s">
        <v>23</v>
      </c>
      <c r="Q57" s="5" t="s">
        <v>19</v>
      </c>
    </row>
    <row r="58" spans="1:17" ht="52">
      <c r="A58" s="14" t="s">
        <v>199</v>
      </c>
      <c r="B58" s="19" t="s">
        <v>35</v>
      </c>
      <c r="C58" s="5" t="s">
        <v>200</v>
      </c>
      <c r="D58" s="5">
        <v>5</v>
      </c>
      <c r="E58" s="4" t="s">
        <v>382</v>
      </c>
      <c r="F58" s="4" t="s">
        <v>342</v>
      </c>
      <c r="G58" s="4" t="s">
        <v>383</v>
      </c>
      <c r="H58" s="4" t="s">
        <v>69</v>
      </c>
      <c r="I58" s="4" t="s">
        <v>181</v>
      </c>
      <c r="J58" s="4" t="s">
        <v>182</v>
      </c>
      <c r="K58" s="5">
        <v>2</v>
      </c>
      <c r="L58" s="5" t="s">
        <v>16</v>
      </c>
      <c r="M58" s="5">
        <v>1</v>
      </c>
      <c r="N58" s="4" t="s">
        <v>183</v>
      </c>
      <c r="O58" s="5" t="s">
        <v>22</v>
      </c>
      <c r="P58" s="5" t="s">
        <v>20</v>
      </c>
      <c r="Q58" s="5" t="s">
        <v>19</v>
      </c>
    </row>
    <row r="59" spans="1:17" ht="52">
      <c r="A59" s="14" t="s">
        <v>201</v>
      </c>
      <c r="B59" s="19" t="s">
        <v>35</v>
      </c>
      <c r="C59" s="5" t="s">
        <v>27</v>
      </c>
      <c r="D59" s="5">
        <v>4</v>
      </c>
      <c r="E59" s="4" t="s">
        <v>384</v>
      </c>
      <c r="F59" s="4" t="s">
        <v>342</v>
      </c>
      <c r="G59" s="4" t="s">
        <v>385</v>
      </c>
      <c r="H59" s="4" t="s">
        <v>69</v>
      </c>
      <c r="I59" s="4" t="s">
        <v>181</v>
      </c>
      <c r="J59" s="4" t="s">
        <v>182</v>
      </c>
      <c r="K59" s="5">
        <v>2</v>
      </c>
      <c r="L59" s="5" t="s">
        <v>16</v>
      </c>
      <c r="M59" s="5">
        <v>1</v>
      </c>
      <c r="N59" s="4" t="s">
        <v>183</v>
      </c>
      <c r="O59" s="5" t="s">
        <v>17</v>
      </c>
      <c r="P59" s="5" t="s">
        <v>20</v>
      </c>
      <c r="Q59" s="5" t="s">
        <v>19</v>
      </c>
    </row>
    <row r="60" spans="1:17" ht="52">
      <c r="A60" s="14" t="s">
        <v>202</v>
      </c>
      <c r="B60" s="19" t="s">
        <v>35</v>
      </c>
      <c r="C60" s="5" t="s">
        <v>28</v>
      </c>
      <c r="D60" s="5">
        <v>4</v>
      </c>
      <c r="E60" s="4" t="s">
        <v>386</v>
      </c>
      <c r="F60" s="4" t="s">
        <v>342</v>
      </c>
      <c r="G60" s="4" t="s">
        <v>387</v>
      </c>
      <c r="H60" s="4" t="s">
        <v>69</v>
      </c>
      <c r="I60" s="4" t="s">
        <v>181</v>
      </c>
      <c r="J60" s="4" t="s">
        <v>182</v>
      </c>
      <c r="K60" s="5">
        <v>2</v>
      </c>
      <c r="L60" s="5" t="s">
        <v>16</v>
      </c>
      <c r="M60" s="5">
        <v>1</v>
      </c>
      <c r="N60" s="4" t="s">
        <v>183</v>
      </c>
      <c r="O60" s="5" t="s">
        <v>17</v>
      </c>
      <c r="P60" s="5" t="s">
        <v>20</v>
      </c>
      <c r="Q60" s="5" t="s">
        <v>19</v>
      </c>
    </row>
    <row r="61" spans="1:17" ht="52">
      <c r="A61" s="14" t="s">
        <v>203</v>
      </c>
      <c r="B61" s="19" t="s">
        <v>35</v>
      </c>
      <c r="C61" s="5" t="s">
        <v>150</v>
      </c>
      <c r="D61" s="5">
        <v>4</v>
      </c>
      <c r="E61" s="4" t="s">
        <v>388</v>
      </c>
      <c r="F61" s="4" t="s">
        <v>342</v>
      </c>
      <c r="G61" s="4" t="s">
        <v>389</v>
      </c>
      <c r="H61" s="4" t="s">
        <v>69</v>
      </c>
      <c r="I61" s="4" t="s">
        <v>181</v>
      </c>
      <c r="J61" s="4" t="s">
        <v>182</v>
      </c>
      <c r="K61" s="5">
        <v>2</v>
      </c>
      <c r="L61" s="5" t="s">
        <v>16</v>
      </c>
      <c r="M61" s="5">
        <v>1</v>
      </c>
      <c r="N61" s="4" t="s">
        <v>183</v>
      </c>
      <c r="O61" s="5" t="s">
        <v>17</v>
      </c>
      <c r="P61" s="5" t="s">
        <v>18</v>
      </c>
      <c r="Q61" s="5" t="s">
        <v>19</v>
      </c>
    </row>
    <row r="62" spans="1:17" ht="182">
      <c r="A62" s="14" t="s">
        <v>204</v>
      </c>
      <c r="B62" s="19" t="s">
        <v>205</v>
      </c>
      <c r="C62" s="5" t="s">
        <v>21</v>
      </c>
      <c r="D62" s="5">
        <v>5</v>
      </c>
      <c r="E62" s="4" t="s">
        <v>206</v>
      </c>
      <c r="F62" s="4" t="s">
        <v>59</v>
      </c>
      <c r="G62" s="4" t="s">
        <v>207</v>
      </c>
      <c r="H62" s="4" t="s">
        <v>49</v>
      </c>
      <c r="I62" s="4" t="s">
        <v>208</v>
      </c>
      <c r="J62" s="4" t="s">
        <v>209</v>
      </c>
      <c r="K62" s="5">
        <v>2</v>
      </c>
      <c r="L62" s="5" t="s">
        <v>16</v>
      </c>
      <c r="M62" s="5">
        <v>1</v>
      </c>
      <c r="N62" s="4" t="s">
        <v>210</v>
      </c>
      <c r="O62" s="5" t="s">
        <v>22</v>
      </c>
      <c r="P62" s="5" t="s">
        <v>23</v>
      </c>
      <c r="Q62" s="5" t="s">
        <v>19</v>
      </c>
    </row>
    <row r="63" spans="1:17" ht="195">
      <c r="A63" s="14" t="s">
        <v>211</v>
      </c>
      <c r="B63" s="19" t="s">
        <v>205</v>
      </c>
      <c r="C63" s="5" t="s">
        <v>21</v>
      </c>
      <c r="D63" s="5">
        <v>4</v>
      </c>
      <c r="E63" s="4" t="s">
        <v>212</v>
      </c>
      <c r="F63" s="4" t="s">
        <v>63</v>
      </c>
      <c r="G63" s="4" t="s">
        <v>213</v>
      </c>
      <c r="H63" s="4" t="s">
        <v>49</v>
      </c>
      <c r="I63" s="4" t="s">
        <v>208</v>
      </c>
      <c r="J63" s="4" t="s">
        <v>209</v>
      </c>
      <c r="K63" s="5">
        <v>2</v>
      </c>
      <c r="L63" s="5" t="s">
        <v>16</v>
      </c>
      <c r="M63" s="5">
        <v>1</v>
      </c>
      <c r="N63" s="4" t="s">
        <v>210</v>
      </c>
      <c r="O63" s="5" t="s">
        <v>17</v>
      </c>
      <c r="P63" s="5" t="s">
        <v>23</v>
      </c>
      <c r="Q63" s="5" t="s">
        <v>19</v>
      </c>
    </row>
    <row r="64" spans="1:17" ht="195">
      <c r="A64" s="14" t="s">
        <v>214</v>
      </c>
      <c r="B64" s="19" t="s">
        <v>205</v>
      </c>
      <c r="C64" s="5" t="s">
        <v>21</v>
      </c>
      <c r="D64" s="5">
        <v>4</v>
      </c>
      <c r="E64" s="4" t="s">
        <v>215</v>
      </c>
      <c r="F64" s="4" t="s">
        <v>47</v>
      </c>
      <c r="G64" s="4" t="s">
        <v>216</v>
      </c>
      <c r="H64" s="4" t="s">
        <v>49</v>
      </c>
      <c r="I64" s="4" t="s">
        <v>208</v>
      </c>
      <c r="J64" s="4" t="s">
        <v>209</v>
      </c>
      <c r="K64" s="5">
        <v>2</v>
      </c>
      <c r="L64" s="5" t="s">
        <v>16</v>
      </c>
      <c r="M64" s="5">
        <v>1</v>
      </c>
      <c r="N64" s="4" t="s">
        <v>210</v>
      </c>
      <c r="O64" s="5" t="s">
        <v>17</v>
      </c>
      <c r="P64" s="5" t="s">
        <v>23</v>
      </c>
      <c r="Q64" s="5" t="s">
        <v>19</v>
      </c>
    </row>
    <row r="65" spans="1:17" ht="195">
      <c r="A65" s="14" t="s">
        <v>217</v>
      </c>
      <c r="B65" s="19" t="s">
        <v>205</v>
      </c>
      <c r="C65" s="5" t="s">
        <v>21</v>
      </c>
      <c r="D65" s="5">
        <v>5</v>
      </c>
      <c r="E65" s="4" t="s">
        <v>218</v>
      </c>
      <c r="F65" s="4" t="s">
        <v>55</v>
      </c>
      <c r="G65" s="4" t="s">
        <v>219</v>
      </c>
      <c r="H65" s="4" t="s">
        <v>49</v>
      </c>
      <c r="I65" s="4" t="s">
        <v>208</v>
      </c>
      <c r="J65" s="4" t="s">
        <v>209</v>
      </c>
      <c r="K65" s="5">
        <v>2</v>
      </c>
      <c r="L65" s="5" t="s">
        <v>16</v>
      </c>
      <c r="M65" s="5">
        <v>1</v>
      </c>
      <c r="N65" s="4" t="s">
        <v>210</v>
      </c>
      <c r="O65" s="5" t="s">
        <v>22</v>
      </c>
      <c r="P65" s="5" t="s">
        <v>23</v>
      </c>
      <c r="Q65" s="5" t="s">
        <v>19</v>
      </c>
    </row>
    <row r="66" spans="1:17" ht="195">
      <c r="A66" s="14" t="s">
        <v>220</v>
      </c>
      <c r="B66" s="19" t="s">
        <v>205</v>
      </c>
      <c r="C66" s="5" t="s">
        <v>21</v>
      </c>
      <c r="D66" s="5">
        <v>4</v>
      </c>
      <c r="E66" s="4" t="s">
        <v>221</v>
      </c>
      <c r="F66" s="4" t="s">
        <v>59</v>
      </c>
      <c r="G66" s="4" t="s">
        <v>222</v>
      </c>
      <c r="H66" s="4" t="s">
        <v>49</v>
      </c>
      <c r="I66" s="4" t="s">
        <v>208</v>
      </c>
      <c r="J66" s="4" t="s">
        <v>209</v>
      </c>
      <c r="K66" s="5">
        <v>2</v>
      </c>
      <c r="L66" s="5" t="s">
        <v>16</v>
      </c>
      <c r="M66" s="5">
        <v>1</v>
      </c>
      <c r="N66" s="4" t="s">
        <v>210</v>
      </c>
      <c r="O66" s="5" t="s">
        <v>17</v>
      </c>
      <c r="P66" s="5" t="s">
        <v>23</v>
      </c>
      <c r="Q66" s="5" t="s">
        <v>19</v>
      </c>
    </row>
    <row r="67" spans="1:17" ht="195.5" thickBot="1">
      <c r="A67" s="14" t="s">
        <v>223</v>
      </c>
      <c r="B67" s="19" t="s">
        <v>205</v>
      </c>
      <c r="C67" s="5" t="s">
        <v>21</v>
      </c>
      <c r="D67" s="5">
        <v>4</v>
      </c>
      <c r="E67" s="4" t="s">
        <v>224</v>
      </c>
      <c r="F67" s="4" t="s">
        <v>63</v>
      </c>
      <c r="G67" s="4" t="s">
        <v>225</v>
      </c>
      <c r="H67" s="4" t="s">
        <v>49</v>
      </c>
      <c r="I67" s="4" t="s">
        <v>208</v>
      </c>
      <c r="J67" s="4" t="s">
        <v>209</v>
      </c>
      <c r="K67" s="5">
        <v>2</v>
      </c>
      <c r="L67" s="5" t="s">
        <v>16</v>
      </c>
      <c r="M67" s="5">
        <v>1</v>
      </c>
      <c r="N67" s="4" t="s">
        <v>210</v>
      </c>
      <c r="O67" s="5" t="s">
        <v>17</v>
      </c>
      <c r="P67" s="5" t="s">
        <v>23</v>
      </c>
      <c r="Q67" s="5" t="s">
        <v>19</v>
      </c>
    </row>
    <row r="68" spans="1:17" ht="52">
      <c r="A68" s="12" t="s">
        <v>226</v>
      </c>
      <c r="B68" s="18" t="s">
        <v>205</v>
      </c>
      <c r="C68" s="3" t="s">
        <v>227</v>
      </c>
      <c r="D68" s="3">
        <v>5</v>
      </c>
      <c r="E68" s="2" t="s">
        <v>390</v>
      </c>
      <c r="F68" s="2" t="s">
        <v>342</v>
      </c>
      <c r="G68" s="2" t="s">
        <v>391</v>
      </c>
      <c r="H68" s="2" t="s">
        <v>69</v>
      </c>
      <c r="I68" s="2" t="s">
        <v>208</v>
      </c>
      <c r="J68" s="2" t="s">
        <v>209</v>
      </c>
      <c r="K68" s="3">
        <v>2</v>
      </c>
      <c r="L68" s="3" t="s">
        <v>16</v>
      </c>
      <c r="M68" s="3">
        <v>1</v>
      </c>
      <c r="N68" s="2" t="s">
        <v>210</v>
      </c>
      <c r="O68" s="3" t="s">
        <v>22</v>
      </c>
      <c r="P68" s="3" t="s">
        <v>20</v>
      </c>
      <c r="Q68" s="3" t="s">
        <v>19</v>
      </c>
    </row>
    <row r="69" spans="1:17" ht="52">
      <c r="A69" s="14" t="s">
        <v>228</v>
      </c>
      <c r="B69" s="19" t="s">
        <v>205</v>
      </c>
      <c r="C69" s="5" t="s">
        <v>28</v>
      </c>
      <c r="D69" s="5">
        <v>4</v>
      </c>
      <c r="E69" s="4" t="s">
        <v>392</v>
      </c>
      <c r="F69" s="4" t="s">
        <v>342</v>
      </c>
      <c r="G69" s="4" t="s">
        <v>393</v>
      </c>
      <c r="H69" s="4" t="s">
        <v>69</v>
      </c>
      <c r="I69" s="4" t="s">
        <v>208</v>
      </c>
      <c r="J69" s="4" t="s">
        <v>209</v>
      </c>
      <c r="K69" s="5">
        <v>2</v>
      </c>
      <c r="L69" s="5" t="s">
        <v>16</v>
      </c>
      <c r="M69" s="5">
        <v>1</v>
      </c>
      <c r="N69" s="4" t="s">
        <v>210</v>
      </c>
      <c r="O69" s="5" t="s">
        <v>17</v>
      </c>
      <c r="P69" s="5" t="s">
        <v>20</v>
      </c>
      <c r="Q69" s="5" t="s">
        <v>19</v>
      </c>
    </row>
    <row r="70" spans="1:17" ht="52">
      <c r="A70" s="14" t="s">
        <v>229</v>
      </c>
      <c r="B70" s="19" t="s">
        <v>205</v>
      </c>
      <c r="C70" s="5" t="s">
        <v>27</v>
      </c>
      <c r="D70" s="5">
        <v>4</v>
      </c>
      <c r="E70" s="4" t="s">
        <v>394</v>
      </c>
      <c r="F70" s="4" t="s">
        <v>342</v>
      </c>
      <c r="G70" s="4" t="s">
        <v>395</v>
      </c>
      <c r="H70" s="4" t="s">
        <v>69</v>
      </c>
      <c r="I70" s="4" t="s">
        <v>208</v>
      </c>
      <c r="J70" s="4" t="s">
        <v>209</v>
      </c>
      <c r="K70" s="5">
        <v>2</v>
      </c>
      <c r="L70" s="5" t="s">
        <v>16</v>
      </c>
      <c r="M70" s="5">
        <v>1</v>
      </c>
      <c r="N70" s="4" t="s">
        <v>210</v>
      </c>
      <c r="O70" s="5" t="s">
        <v>17</v>
      </c>
      <c r="P70" s="5" t="s">
        <v>20</v>
      </c>
      <c r="Q70" s="5" t="s">
        <v>19</v>
      </c>
    </row>
    <row r="71" spans="1:17" ht="52">
      <c r="A71" s="14" t="s">
        <v>230</v>
      </c>
      <c r="B71" s="19" t="s">
        <v>205</v>
      </c>
      <c r="C71" s="5" t="s">
        <v>26</v>
      </c>
      <c r="D71" s="5">
        <v>4</v>
      </c>
      <c r="E71" s="4" t="s">
        <v>396</v>
      </c>
      <c r="F71" s="4" t="s">
        <v>342</v>
      </c>
      <c r="G71" s="4" t="s">
        <v>397</v>
      </c>
      <c r="H71" s="4" t="s">
        <v>69</v>
      </c>
      <c r="I71" s="4" t="s">
        <v>208</v>
      </c>
      <c r="J71" s="4" t="s">
        <v>209</v>
      </c>
      <c r="K71" s="5">
        <v>2</v>
      </c>
      <c r="L71" s="5" t="s">
        <v>16</v>
      </c>
      <c r="M71" s="5">
        <v>1</v>
      </c>
      <c r="N71" s="4" t="s">
        <v>210</v>
      </c>
      <c r="O71" s="5" t="s">
        <v>17</v>
      </c>
      <c r="P71" s="5" t="s">
        <v>20</v>
      </c>
      <c r="Q71" s="5" t="s">
        <v>19</v>
      </c>
    </row>
    <row r="72" spans="1:17" ht="195">
      <c r="A72" s="14" t="s">
        <v>231</v>
      </c>
      <c r="B72" s="19" t="s">
        <v>24</v>
      </c>
      <c r="C72" s="5" t="s">
        <v>21</v>
      </c>
      <c r="D72" s="5">
        <v>5</v>
      </c>
      <c r="E72" s="4" t="s">
        <v>232</v>
      </c>
      <c r="F72" s="4" t="s">
        <v>55</v>
      </c>
      <c r="G72" s="4" t="s">
        <v>233</v>
      </c>
      <c r="H72" s="4" t="s">
        <v>49</v>
      </c>
      <c r="I72" s="4" t="s">
        <v>234</v>
      </c>
      <c r="J72" s="4" t="s">
        <v>235</v>
      </c>
      <c r="K72" s="5">
        <v>2</v>
      </c>
      <c r="L72" s="5" t="s">
        <v>16</v>
      </c>
      <c r="M72" s="5">
        <v>1</v>
      </c>
      <c r="N72" s="4" t="s">
        <v>236</v>
      </c>
      <c r="O72" s="5" t="s">
        <v>22</v>
      </c>
      <c r="P72" s="5" t="s">
        <v>23</v>
      </c>
      <c r="Q72" s="5" t="s">
        <v>19</v>
      </c>
    </row>
    <row r="73" spans="1:17" ht="195">
      <c r="A73" s="14" t="s">
        <v>237</v>
      </c>
      <c r="B73" s="19" t="s">
        <v>24</v>
      </c>
      <c r="C73" s="5" t="s">
        <v>21</v>
      </c>
      <c r="D73" s="5">
        <v>4</v>
      </c>
      <c r="E73" s="4" t="s">
        <v>238</v>
      </c>
      <c r="F73" s="4" t="s">
        <v>59</v>
      </c>
      <c r="G73" s="4" t="s">
        <v>239</v>
      </c>
      <c r="H73" s="4" t="s">
        <v>49</v>
      </c>
      <c r="I73" s="4" t="s">
        <v>234</v>
      </c>
      <c r="J73" s="4" t="s">
        <v>235</v>
      </c>
      <c r="K73" s="5">
        <v>2</v>
      </c>
      <c r="L73" s="5" t="s">
        <v>16</v>
      </c>
      <c r="M73" s="5">
        <v>1</v>
      </c>
      <c r="N73" s="4" t="s">
        <v>236</v>
      </c>
      <c r="O73" s="5" t="s">
        <v>17</v>
      </c>
      <c r="P73" s="5" t="s">
        <v>23</v>
      </c>
      <c r="Q73" s="5" t="s">
        <v>19</v>
      </c>
    </row>
    <row r="74" spans="1:17" ht="195">
      <c r="A74" s="14" t="s">
        <v>240</v>
      </c>
      <c r="B74" s="19" t="s">
        <v>24</v>
      </c>
      <c r="C74" s="5" t="s">
        <v>21</v>
      </c>
      <c r="D74" s="5">
        <v>4</v>
      </c>
      <c r="E74" s="4" t="s">
        <v>241</v>
      </c>
      <c r="F74" s="4" t="s">
        <v>63</v>
      </c>
      <c r="G74" s="4" t="s">
        <v>242</v>
      </c>
      <c r="H74" s="4" t="s">
        <v>49</v>
      </c>
      <c r="I74" s="4" t="s">
        <v>234</v>
      </c>
      <c r="J74" s="4" t="s">
        <v>235</v>
      </c>
      <c r="K74" s="5">
        <v>2</v>
      </c>
      <c r="L74" s="5" t="s">
        <v>16</v>
      </c>
      <c r="M74" s="5">
        <v>1</v>
      </c>
      <c r="N74" s="4" t="s">
        <v>236</v>
      </c>
      <c r="O74" s="5" t="s">
        <v>17</v>
      </c>
      <c r="P74" s="5" t="s">
        <v>23</v>
      </c>
      <c r="Q74" s="5" t="s">
        <v>19</v>
      </c>
    </row>
    <row r="75" spans="1:17" ht="182">
      <c r="A75" s="14" t="s">
        <v>243</v>
      </c>
      <c r="B75" s="19" t="s">
        <v>24</v>
      </c>
      <c r="C75" s="5" t="s">
        <v>21</v>
      </c>
      <c r="D75" s="5">
        <v>5</v>
      </c>
      <c r="E75" s="4" t="s">
        <v>244</v>
      </c>
      <c r="F75" s="4" t="s">
        <v>47</v>
      </c>
      <c r="G75" s="4" t="s">
        <v>245</v>
      </c>
      <c r="H75" s="4" t="s">
        <v>49</v>
      </c>
      <c r="I75" s="4" t="s">
        <v>234</v>
      </c>
      <c r="J75" s="4" t="s">
        <v>235</v>
      </c>
      <c r="K75" s="5">
        <v>2</v>
      </c>
      <c r="L75" s="5" t="s">
        <v>16</v>
      </c>
      <c r="M75" s="5">
        <v>1</v>
      </c>
      <c r="N75" s="4" t="s">
        <v>236</v>
      </c>
      <c r="O75" s="5" t="s">
        <v>22</v>
      </c>
      <c r="P75" s="5" t="s">
        <v>23</v>
      </c>
      <c r="Q75" s="5" t="s">
        <v>19</v>
      </c>
    </row>
    <row r="76" spans="1:17" ht="182">
      <c r="A76" s="14" t="s">
        <v>246</v>
      </c>
      <c r="B76" s="19" t="s">
        <v>24</v>
      </c>
      <c r="C76" s="5" t="s">
        <v>21</v>
      </c>
      <c r="D76" s="5">
        <v>4</v>
      </c>
      <c r="E76" s="4" t="s">
        <v>247</v>
      </c>
      <c r="F76" s="4" t="s">
        <v>55</v>
      </c>
      <c r="G76" s="4" t="s">
        <v>248</v>
      </c>
      <c r="H76" s="4" t="s">
        <v>49</v>
      </c>
      <c r="I76" s="4" t="s">
        <v>234</v>
      </c>
      <c r="J76" s="4" t="s">
        <v>235</v>
      </c>
      <c r="K76" s="5">
        <v>2</v>
      </c>
      <c r="L76" s="5" t="s">
        <v>16</v>
      </c>
      <c r="M76" s="5">
        <v>1</v>
      </c>
      <c r="N76" s="4" t="s">
        <v>236</v>
      </c>
      <c r="O76" s="5" t="s">
        <v>17</v>
      </c>
      <c r="P76" s="5" t="s">
        <v>23</v>
      </c>
      <c r="Q76" s="5" t="s">
        <v>19</v>
      </c>
    </row>
    <row r="77" spans="1:17" ht="195">
      <c r="A77" s="14" t="s">
        <v>249</v>
      </c>
      <c r="B77" s="19" t="s">
        <v>24</v>
      </c>
      <c r="C77" s="5" t="s">
        <v>21</v>
      </c>
      <c r="D77" s="5">
        <v>4</v>
      </c>
      <c r="E77" s="4" t="s">
        <v>250</v>
      </c>
      <c r="F77" s="4" t="s">
        <v>59</v>
      </c>
      <c r="G77" s="4" t="s">
        <v>251</v>
      </c>
      <c r="H77" s="4" t="s">
        <v>49</v>
      </c>
      <c r="I77" s="4" t="s">
        <v>234</v>
      </c>
      <c r="J77" s="4" t="s">
        <v>235</v>
      </c>
      <c r="K77" s="5">
        <v>2</v>
      </c>
      <c r="L77" s="5" t="s">
        <v>16</v>
      </c>
      <c r="M77" s="5">
        <v>1</v>
      </c>
      <c r="N77" s="4" t="s">
        <v>236</v>
      </c>
      <c r="O77" s="5" t="s">
        <v>17</v>
      </c>
      <c r="P77" s="5" t="s">
        <v>23</v>
      </c>
      <c r="Q77" s="5" t="s">
        <v>19</v>
      </c>
    </row>
    <row r="78" spans="1:17" ht="52">
      <c r="A78" s="14" t="s">
        <v>252</v>
      </c>
      <c r="B78" s="19" t="s">
        <v>24</v>
      </c>
      <c r="C78" s="5" t="s">
        <v>253</v>
      </c>
      <c r="D78" s="5">
        <v>5</v>
      </c>
      <c r="E78" s="4" t="s">
        <v>398</v>
      </c>
      <c r="F78" s="4" t="s">
        <v>342</v>
      </c>
      <c r="G78" s="4" t="s">
        <v>399</v>
      </c>
      <c r="H78" s="4" t="s">
        <v>69</v>
      </c>
      <c r="I78" s="4" t="s">
        <v>234</v>
      </c>
      <c r="J78" s="4" t="s">
        <v>235</v>
      </c>
      <c r="K78" s="5">
        <v>2</v>
      </c>
      <c r="L78" s="5" t="s">
        <v>16</v>
      </c>
      <c r="M78" s="5">
        <v>1</v>
      </c>
      <c r="N78" s="4" t="s">
        <v>236</v>
      </c>
      <c r="O78" s="5" t="s">
        <v>22</v>
      </c>
      <c r="P78" s="5" t="s">
        <v>20</v>
      </c>
      <c r="Q78" s="5" t="s">
        <v>19</v>
      </c>
    </row>
    <row r="79" spans="1:17" ht="52">
      <c r="A79" s="14" t="s">
        <v>254</v>
      </c>
      <c r="B79" s="19" t="s">
        <v>24</v>
      </c>
      <c r="C79" s="5" t="s">
        <v>71</v>
      </c>
      <c r="D79" s="5">
        <v>4</v>
      </c>
      <c r="E79" s="4" t="s">
        <v>400</v>
      </c>
      <c r="F79" s="4" t="s">
        <v>342</v>
      </c>
      <c r="G79" s="4" t="s">
        <v>401</v>
      </c>
      <c r="H79" s="4" t="s">
        <v>69</v>
      </c>
      <c r="I79" s="4" t="s">
        <v>234</v>
      </c>
      <c r="J79" s="4" t="s">
        <v>235</v>
      </c>
      <c r="K79" s="5">
        <v>2</v>
      </c>
      <c r="L79" s="5" t="s">
        <v>16</v>
      </c>
      <c r="M79" s="5">
        <v>1</v>
      </c>
      <c r="N79" s="4" t="s">
        <v>236</v>
      </c>
      <c r="O79" s="5" t="s">
        <v>17</v>
      </c>
      <c r="P79" s="5" t="s">
        <v>20</v>
      </c>
      <c r="Q79" s="5" t="s">
        <v>19</v>
      </c>
    </row>
    <row r="80" spans="1:17" ht="52">
      <c r="A80" s="14" t="s">
        <v>255</v>
      </c>
      <c r="B80" s="19" t="s">
        <v>24</v>
      </c>
      <c r="C80" s="5" t="s">
        <v>28</v>
      </c>
      <c r="D80" s="5">
        <v>4</v>
      </c>
      <c r="E80" s="4" t="s">
        <v>402</v>
      </c>
      <c r="F80" s="4" t="s">
        <v>342</v>
      </c>
      <c r="G80" s="4" t="s">
        <v>403</v>
      </c>
      <c r="H80" s="4" t="s">
        <v>69</v>
      </c>
      <c r="I80" s="4" t="s">
        <v>234</v>
      </c>
      <c r="J80" s="4" t="s">
        <v>235</v>
      </c>
      <c r="K80" s="5">
        <v>2</v>
      </c>
      <c r="L80" s="5" t="s">
        <v>16</v>
      </c>
      <c r="M80" s="5">
        <v>1</v>
      </c>
      <c r="N80" s="4" t="s">
        <v>236</v>
      </c>
      <c r="O80" s="5" t="s">
        <v>17</v>
      </c>
      <c r="P80" s="5" t="s">
        <v>20</v>
      </c>
      <c r="Q80" s="5" t="s">
        <v>19</v>
      </c>
    </row>
    <row r="81" spans="1:17" ht="52">
      <c r="A81" s="14" t="s">
        <v>256</v>
      </c>
      <c r="B81" s="19" t="s">
        <v>24</v>
      </c>
      <c r="C81" s="5" t="s">
        <v>26</v>
      </c>
      <c r="D81" s="5">
        <v>4</v>
      </c>
      <c r="E81" s="4" t="s">
        <v>404</v>
      </c>
      <c r="F81" s="4" t="s">
        <v>342</v>
      </c>
      <c r="G81" s="4" t="s">
        <v>405</v>
      </c>
      <c r="H81" s="4" t="s">
        <v>69</v>
      </c>
      <c r="I81" s="4" t="s">
        <v>234</v>
      </c>
      <c r="J81" s="4" t="s">
        <v>235</v>
      </c>
      <c r="K81" s="5">
        <v>2</v>
      </c>
      <c r="L81" s="5" t="s">
        <v>16</v>
      </c>
      <c r="M81" s="5">
        <v>1</v>
      </c>
      <c r="N81" s="4" t="s">
        <v>236</v>
      </c>
      <c r="O81" s="5" t="s">
        <v>17</v>
      </c>
      <c r="P81" s="5" t="s">
        <v>20</v>
      </c>
      <c r="Q81" s="5" t="s">
        <v>19</v>
      </c>
    </row>
    <row r="82" spans="1:17" ht="195">
      <c r="A82" s="14" t="s">
        <v>257</v>
      </c>
      <c r="B82" s="19" t="s">
        <v>15</v>
      </c>
      <c r="C82" s="5" t="s">
        <v>21</v>
      </c>
      <c r="D82" s="5">
        <v>5</v>
      </c>
      <c r="E82" s="4" t="s">
        <v>258</v>
      </c>
      <c r="F82" s="4" t="s">
        <v>47</v>
      </c>
      <c r="G82" s="4" t="s">
        <v>259</v>
      </c>
      <c r="H82" s="4" t="s">
        <v>49</v>
      </c>
      <c r="I82" s="4" t="s">
        <v>260</v>
      </c>
      <c r="J82" s="4" t="s">
        <v>261</v>
      </c>
      <c r="K82" s="5">
        <v>2</v>
      </c>
      <c r="L82" s="5" t="s">
        <v>16</v>
      </c>
      <c r="M82" s="5">
        <v>1</v>
      </c>
      <c r="N82" s="4" t="s">
        <v>262</v>
      </c>
      <c r="O82" s="5" t="s">
        <v>22</v>
      </c>
      <c r="P82" s="5" t="s">
        <v>23</v>
      </c>
      <c r="Q82" s="5" t="s">
        <v>19</v>
      </c>
    </row>
    <row r="83" spans="1:17" ht="195">
      <c r="A83" s="14" t="s">
        <v>263</v>
      </c>
      <c r="B83" s="19" t="s">
        <v>15</v>
      </c>
      <c r="C83" s="5" t="s">
        <v>21</v>
      </c>
      <c r="D83" s="5">
        <v>4</v>
      </c>
      <c r="E83" s="4" t="s">
        <v>264</v>
      </c>
      <c r="F83" s="4" t="s">
        <v>55</v>
      </c>
      <c r="G83" s="4" t="s">
        <v>265</v>
      </c>
      <c r="H83" s="4" t="s">
        <v>49</v>
      </c>
      <c r="I83" s="4" t="s">
        <v>260</v>
      </c>
      <c r="J83" s="4" t="s">
        <v>261</v>
      </c>
      <c r="K83" s="5">
        <v>2</v>
      </c>
      <c r="L83" s="5" t="s">
        <v>16</v>
      </c>
      <c r="M83" s="5">
        <v>1</v>
      </c>
      <c r="N83" s="4" t="s">
        <v>262</v>
      </c>
      <c r="O83" s="5" t="s">
        <v>17</v>
      </c>
      <c r="P83" s="5" t="s">
        <v>23</v>
      </c>
      <c r="Q83" s="5" t="s">
        <v>19</v>
      </c>
    </row>
    <row r="84" spans="1:17" ht="195.5" thickBot="1">
      <c r="A84" s="14" t="s">
        <v>266</v>
      </c>
      <c r="B84" s="19" t="s">
        <v>15</v>
      </c>
      <c r="C84" s="5" t="s">
        <v>21</v>
      </c>
      <c r="D84" s="5">
        <v>4</v>
      </c>
      <c r="E84" s="4" t="s">
        <v>267</v>
      </c>
      <c r="F84" s="4" t="s">
        <v>59</v>
      </c>
      <c r="G84" s="4" t="s">
        <v>268</v>
      </c>
      <c r="H84" s="4" t="s">
        <v>49</v>
      </c>
      <c r="I84" s="4" t="s">
        <v>260</v>
      </c>
      <c r="J84" s="4" t="s">
        <v>261</v>
      </c>
      <c r="K84" s="5">
        <v>2</v>
      </c>
      <c r="L84" s="5" t="s">
        <v>16</v>
      </c>
      <c r="M84" s="5">
        <v>1</v>
      </c>
      <c r="N84" s="4" t="s">
        <v>262</v>
      </c>
      <c r="O84" s="5" t="s">
        <v>17</v>
      </c>
      <c r="P84" s="5" t="s">
        <v>23</v>
      </c>
      <c r="Q84" s="5" t="s">
        <v>19</v>
      </c>
    </row>
    <row r="85" spans="1:17" ht="182">
      <c r="A85" s="12" t="s">
        <v>269</v>
      </c>
      <c r="B85" s="18" t="s">
        <v>15</v>
      </c>
      <c r="C85" s="3" t="s">
        <v>21</v>
      </c>
      <c r="D85" s="3">
        <v>5</v>
      </c>
      <c r="E85" s="2" t="s">
        <v>270</v>
      </c>
      <c r="F85" s="2" t="s">
        <v>63</v>
      </c>
      <c r="G85" s="2" t="s">
        <v>271</v>
      </c>
      <c r="H85" s="2" t="s">
        <v>49</v>
      </c>
      <c r="I85" s="2" t="s">
        <v>260</v>
      </c>
      <c r="J85" s="2" t="s">
        <v>261</v>
      </c>
      <c r="K85" s="3">
        <v>2</v>
      </c>
      <c r="L85" s="3" t="s">
        <v>16</v>
      </c>
      <c r="M85" s="3">
        <v>1</v>
      </c>
      <c r="N85" s="2" t="s">
        <v>262</v>
      </c>
      <c r="O85" s="3" t="s">
        <v>22</v>
      </c>
      <c r="P85" s="3" t="s">
        <v>23</v>
      </c>
      <c r="Q85" s="3" t="s">
        <v>19</v>
      </c>
    </row>
    <row r="86" spans="1:17" ht="195">
      <c r="A86" s="14" t="s">
        <v>272</v>
      </c>
      <c r="B86" s="19" t="s">
        <v>15</v>
      </c>
      <c r="C86" s="5" t="s">
        <v>21</v>
      </c>
      <c r="D86" s="5">
        <v>4</v>
      </c>
      <c r="E86" s="4" t="s">
        <v>273</v>
      </c>
      <c r="F86" s="4" t="s">
        <v>47</v>
      </c>
      <c r="G86" s="4" t="s">
        <v>274</v>
      </c>
      <c r="H86" s="4" t="s">
        <v>49</v>
      </c>
      <c r="I86" s="4" t="s">
        <v>260</v>
      </c>
      <c r="J86" s="4" t="s">
        <v>261</v>
      </c>
      <c r="K86" s="5">
        <v>2</v>
      </c>
      <c r="L86" s="5" t="s">
        <v>16</v>
      </c>
      <c r="M86" s="5">
        <v>1</v>
      </c>
      <c r="N86" s="4" t="s">
        <v>262</v>
      </c>
      <c r="O86" s="5" t="s">
        <v>17</v>
      </c>
      <c r="P86" s="5" t="s">
        <v>23</v>
      </c>
      <c r="Q86" s="5" t="s">
        <v>19</v>
      </c>
    </row>
    <row r="87" spans="1:17" ht="195">
      <c r="A87" s="14" t="s">
        <v>275</v>
      </c>
      <c r="B87" s="19" t="s">
        <v>15</v>
      </c>
      <c r="C87" s="5" t="s">
        <v>21</v>
      </c>
      <c r="D87" s="5">
        <v>4</v>
      </c>
      <c r="E87" s="4" t="s">
        <v>276</v>
      </c>
      <c r="F87" s="4" t="s">
        <v>55</v>
      </c>
      <c r="G87" s="4" t="s">
        <v>277</v>
      </c>
      <c r="H87" s="4" t="s">
        <v>49</v>
      </c>
      <c r="I87" s="4" t="s">
        <v>260</v>
      </c>
      <c r="J87" s="4" t="s">
        <v>261</v>
      </c>
      <c r="K87" s="5">
        <v>2</v>
      </c>
      <c r="L87" s="5" t="s">
        <v>16</v>
      </c>
      <c r="M87" s="5">
        <v>1</v>
      </c>
      <c r="N87" s="4" t="s">
        <v>262</v>
      </c>
      <c r="O87" s="5" t="s">
        <v>17</v>
      </c>
      <c r="P87" s="5" t="s">
        <v>23</v>
      </c>
      <c r="Q87" s="5" t="s">
        <v>19</v>
      </c>
    </row>
    <row r="88" spans="1:17" ht="52">
      <c r="A88" s="14" t="s">
        <v>278</v>
      </c>
      <c r="B88" s="19" t="s">
        <v>15</v>
      </c>
      <c r="C88" s="5" t="s">
        <v>279</v>
      </c>
      <c r="D88" s="5">
        <v>5</v>
      </c>
      <c r="E88" s="4" t="s">
        <v>406</v>
      </c>
      <c r="F88" s="4" t="s">
        <v>342</v>
      </c>
      <c r="G88" s="4" t="s">
        <v>407</v>
      </c>
      <c r="H88" s="4" t="s">
        <v>69</v>
      </c>
      <c r="I88" s="4" t="s">
        <v>260</v>
      </c>
      <c r="J88" s="4" t="s">
        <v>261</v>
      </c>
      <c r="K88" s="5">
        <v>2</v>
      </c>
      <c r="L88" s="5" t="s">
        <v>16</v>
      </c>
      <c r="M88" s="5">
        <v>1</v>
      </c>
      <c r="N88" s="4" t="s">
        <v>262</v>
      </c>
      <c r="O88" s="5" t="s">
        <v>22</v>
      </c>
      <c r="P88" s="5" t="s">
        <v>20</v>
      </c>
      <c r="Q88" s="5" t="s">
        <v>19</v>
      </c>
    </row>
    <row r="89" spans="1:17" ht="52">
      <c r="A89" s="14" t="s">
        <v>280</v>
      </c>
      <c r="B89" s="19" t="s">
        <v>15</v>
      </c>
      <c r="C89" s="5" t="s">
        <v>281</v>
      </c>
      <c r="D89" s="5">
        <v>4</v>
      </c>
      <c r="E89" s="4" t="s">
        <v>408</v>
      </c>
      <c r="F89" s="4" t="s">
        <v>342</v>
      </c>
      <c r="G89" s="4" t="s">
        <v>409</v>
      </c>
      <c r="H89" s="4" t="s">
        <v>69</v>
      </c>
      <c r="I89" s="4" t="s">
        <v>260</v>
      </c>
      <c r="J89" s="4" t="s">
        <v>261</v>
      </c>
      <c r="K89" s="5">
        <v>2</v>
      </c>
      <c r="L89" s="5" t="s">
        <v>16</v>
      </c>
      <c r="M89" s="5">
        <v>1</v>
      </c>
      <c r="N89" s="4" t="s">
        <v>262</v>
      </c>
      <c r="O89" s="5" t="s">
        <v>17</v>
      </c>
      <c r="P89" s="5" t="s">
        <v>20</v>
      </c>
      <c r="Q89" s="5" t="s">
        <v>19</v>
      </c>
    </row>
    <row r="90" spans="1:17" ht="52">
      <c r="A90" s="14" t="s">
        <v>282</v>
      </c>
      <c r="B90" s="19" t="s">
        <v>15</v>
      </c>
      <c r="C90" s="5" t="s">
        <v>283</v>
      </c>
      <c r="D90" s="5">
        <v>4</v>
      </c>
      <c r="E90" s="4" t="s">
        <v>410</v>
      </c>
      <c r="F90" s="4" t="s">
        <v>342</v>
      </c>
      <c r="G90" s="4" t="s">
        <v>411</v>
      </c>
      <c r="H90" s="4" t="s">
        <v>69</v>
      </c>
      <c r="I90" s="4" t="s">
        <v>260</v>
      </c>
      <c r="J90" s="4" t="s">
        <v>261</v>
      </c>
      <c r="K90" s="5">
        <v>2</v>
      </c>
      <c r="L90" s="5" t="s">
        <v>16</v>
      </c>
      <c r="M90" s="5">
        <v>1</v>
      </c>
      <c r="N90" s="4" t="s">
        <v>262</v>
      </c>
      <c r="O90" s="5" t="s">
        <v>17</v>
      </c>
      <c r="P90" s="5" t="s">
        <v>20</v>
      </c>
      <c r="Q90" s="5" t="s">
        <v>19</v>
      </c>
    </row>
    <row r="91" spans="1:17" ht="52.5" thickBot="1">
      <c r="A91" s="14" t="s">
        <v>284</v>
      </c>
      <c r="B91" s="19" t="s">
        <v>15</v>
      </c>
      <c r="C91" s="5" t="s">
        <v>150</v>
      </c>
      <c r="D91" s="5">
        <v>4</v>
      </c>
      <c r="E91" s="4" t="s">
        <v>412</v>
      </c>
      <c r="F91" s="4" t="s">
        <v>342</v>
      </c>
      <c r="G91" s="4" t="s">
        <v>413</v>
      </c>
      <c r="H91" s="4" t="s">
        <v>69</v>
      </c>
      <c r="I91" s="4" t="s">
        <v>260</v>
      </c>
      <c r="J91" s="4" t="s">
        <v>261</v>
      </c>
      <c r="K91" s="5">
        <v>2</v>
      </c>
      <c r="L91" s="5" t="s">
        <v>16</v>
      </c>
      <c r="M91" s="5">
        <v>1</v>
      </c>
      <c r="N91" s="4" t="s">
        <v>262</v>
      </c>
      <c r="O91" s="5" t="s">
        <v>17</v>
      </c>
      <c r="P91" s="5" t="s">
        <v>18</v>
      </c>
      <c r="Q91" s="5" t="s">
        <v>19</v>
      </c>
    </row>
    <row r="92" spans="1:17" ht="195">
      <c r="A92" s="12" t="s">
        <v>285</v>
      </c>
      <c r="B92" s="18" t="s">
        <v>30</v>
      </c>
      <c r="C92" s="3" t="s">
        <v>21</v>
      </c>
      <c r="D92" s="3">
        <v>5</v>
      </c>
      <c r="E92" s="2" t="s">
        <v>286</v>
      </c>
      <c r="F92" s="2" t="s">
        <v>63</v>
      </c>
      <c r="G92" s="2" t="s">
        <v>287</v>
      </c>
      <c r="H92" s="2" t="s">
        <v>49</v>
      </c>
      <c r="I92" s="2" t="s">
        <v>288</v>
      </c>
      <c r="J92" s="2" t="s">
        <v>289</v>
      </c>
      <c r="K92" s="3">
        <v>2</v>
      </c>
      <c r="L92" s="3" t="s">
        <v>16</v>
      </c>
      <c r="M92" s="3">
        <v>1</v>
      </c>
      <c r="N92" s="2" t="s">
        <v>290</v>
      </c>
      <c r="O92" s="3" t="s">
        <v>22</v>
      </c>
      <c r="P92" s="3" t="s">
        <v>23</v>
      </c>
      <c r="Q92" s="3" t="s">
        <v>19</v>
      </c>
    </row>
    <row r="93" spans="1:17" ht="195">
      <c r="A93" s="14" t="s">
        <v>291</v>
      </c>
      <c r="B93" s="19" t="s">
        <v>30</v>
      </c>
      <c r="C93" s="5" t="s">
        <v>21</v>
      </c>
      <c r="D93" s="5">
        <v>4</v>
      </c>
      <c r="E93" s="4" t="s">
        <v>292</v>
      </c>
      <c r="F93" s="4" t="s">
        <v>47</v>
      </c>
      <c r="G93" s="4" t="s">
        <v>293</v>
      </c>
      <c r="H93" s="4" t="s">
        <v>49</v>
      </c>
      <c r="I93" s="4" t="s">
        <v>288</v>
      </c>
      <c r="J93" s="4" t="s">
        <v>289</v>
      </c>
      <c r="K93" s="5">
        <v>2</v>
      </c>
      <c r="L93" s="5" t="s">
        <v>16</v>
      </c>
      <c r="M93" s="5">
        <v>1</v>
      </c>
      <c r="N93" s="4" t="s">
        <v>290</v>
      </c>
      <c r="O93" s="5" t="s">
        <v>17</v>
      </c>
      <c r="P93" s="5" t="s">
        <v>23</v>
      </c>
      <c r="Q93" s="5" t="s">
        <v>19</v>
      </c>
    </row>
    <row r="94" spans="1:17" ht="195">
      <c r="A94" s="14" t="s">
        <v>294</v>
      </c>
      <c r="B94" s="19" t="s">
        <v>30</v>
      </c>
      <c r="C94" s="5" t="s">
        <v>21</v>
      </c>
      <c r="D94" s="5">
        <v>4</v>
      </c>
      <c r="E94" s="4" t="s">
        <v>295</v>
      </c>
      <c r="F94" s="4" t="s">
        <v>55</v>
      </c>
      <c r="G94" s="4" t="s">
        <v>296</v>
      </c>
      <c r="H94" s="4" t="s">
        <v>49</v>
      </c>
      <c r="I94" s="4" t="s">
        <v>288</v>
      </c>
      <c r="J94" s="4" t="s">
        <v>289</v>
      </c>
      <c r="K94" s="5">
        <v>2</v>
      </c>
      <c r="L94" s="5" t="s">
        <v>16</v>
      </c>
      <c r="M94" s="5">
        <v>1</v>
      </c>
      <c r="N94" s="4" t="s">
        <v>290</v>
      </c>
      <c r="O94" s="5" t="s">
        <v>17</v>
      </c>
      <c r="P94" s="5" t="s">
        <v>23</v>
      </c>
      <c r="Q94" s="5" t="s">
        <v>19</v>
      </c>
    </row>
    <row r="95" spans="1:17" ht="182">
      <c r="A95" s="14" t="s">
        <v>297</v>
      </c>
      <c r="B95" s="19" t="s">
        <v>30</v>
      </c>
      <c r="C95" s="5" t="s">
        <v>21</v>
      </c>
      <c r="D95" s="5">
        <v>5</v>
      </c>
      <c r="E95" s="4" t="s">
        <v>298</v>
      </c>
      <c r="F95" s="4" t="s">
        <v>59</v>
      </c>
      <c r="G95" s="4" t="s">
        <v>299</v>
      </c>
      <c r="H95" s="4" t="s">
        <v>49</v>
      </c>
      <c r="I95" s="4" t="s">
        <v>288</v>
      </c>
      <c r="J95" s="4" t="s">
        <v>289</v>
      </c>
      <c r="K95" s="5">
        <v>2</v>
      </c>
      <c r="L95" s="5" t="s">
        <v>16</v>
      </c>
      <c r="M95" s="5">
        <v>1</v>
      </c>
      <c r="N95" s="4" t="s">
        <v>290</v>
      </c>
      <c r="O95" s="5" t="s">
        <v>22</v>
      </c>
      <c r="P95" s="5" t="s">
        <v>23</v>
      </c>
      <c r="Q95" s="5" t="s">
        <v>19</v>
      </c>
    </row>
    <row r="96" spans="1:17" ht="195">
      <c r="A96" s="14" t="s">
        <v>300</v>
      </c>
      <c r="B96" s="19" t="s">
        <v>30</v>
      </c>
      <c r="C96" s="5" t="s">
        <v>21</v>
      </c>
      <c r="D96" s="5">
        <v>4</v>
      </c>
      <c r="E96" s="4" t="s">
        <v>301</v>
      </c>
      <c r="F96" s="4" t="s">
        <v>63</v>
      </c>
      <c r="G96" s="4" t="s">
        <v>302</v>
      </c>
      <c r="H96" s="4" t="s">
        <v>49</v>
      </c>
      <c r="I96" s="4" t="s">
        <v>288</v>
      </c>
      <c r="J96" s="4" t="s">
        <v>289</v>
      </c>
      <c r="K96" s="5">
        <v>2</v>
      </c>
      <c r="L96" s="5" t="s">
        <v>16</v>
      </c>
      <c r="M96" s="5">
        <v>1</v>
      </c>
      <c r="N96" s="4" t="s">
        <v>290</v>
      </c>
      <c r="O96" s="5" t="s">
        <v>17</v>
      </c>
      <c r="P96" s="5" t="s">
        <v>23</v>
      </c>
      <c r="Q96" s="5" t="s">
        <v>19</v>
      </c>
    </row>
    <row r="97" spans="1:17" ht="195">
      <c r="A97" s="14" t="s">
        <v>303</v>
      </c>
      <c r="B97" s="19" t="s">
        <v>30</v>
      </c>
      <c r="C97" s="5" t="s">
        <v>21</v>
      </c>
      <c r="D97" s="5">
        <v>4</v>
      </c>
      <c r="E97" s="4" t="s">
        <v>304</v>
      </c>
      <c r="F97" s="4" t="s">
        <v>47</v>
      </c>
      <c r="G97" s="4" t="s">
        <v>305</v>
      </c>
      <c r="H97" s="4" t="s">
        <v>49</v>
      </c>
      <c r="I97" s="4" t="s">
        <v>288</v>
      </c>
      <c r="J97" s="4" t="s">
        <v>289</v>
      </c>
      <c r="K97" s="5">
        <v>2</v>
      </c>
      <c r="L97" s="5" t="s">
        <v>16</v>
      </c>
      <c r="M97" s="5">
        <v>1</v>
      </c>
      <c r="N97" s="4" t="s">
        <v>290</v>
      </c>
      <c r="O97" s="5" t="s">
        <v>17</v>
      </c>
      <c r="P97" s="5" t="s">
        <v>23</v>
      </c>
      <c r="Q97" s="5" t="s">
        <v>19</v>
      </c>
    </row>
    <row r="98" spans="1:17" ht="52">
      <c r="A98" s="14" t="s">
        <v>306</v>
      </c>
      <c r="B98" s="19" t="s">
        <v>30</v>
      </c>
      <c r="C98" s="5" t="s">
        <v>307</v>
      </c>
      <c r="D98" s="5">
        <v>5</v>
      </c>
      <c r="E98" s="4" t="s">
        <v>414</v>
      </c>
      <c r="F98" s="4" t="s">
        <v>342</v>
      </c>
      <c r="G98" s="4" t="s">
        <v>415</v>
      </c>
      <c r="H98" s="4" t="s">
        <v>69</v>
      </c>
      <c r="I98" s="4" t="s">
        <v>288</v>
      </c>
      <c r="J98" s="4" t="s">
        <v>289</v>
      </c>
      <c r="K98" s="5">
        <v>2</v>
      </c>
      <c r="L98" s="5" t="s">
        <v>16</v>
      </c>
      <c r="M98" s="5">
        <v>1</v>
      </c>
      <c r="N98" s="4" t="s">
        <v>290</v>
      </c>
      <c r="O98" s="5" t="s">
        <v>22</v>
      </c>
      <c r="P98" s="5" t="s">
        <v>18</v>
      </c>
      <c r="Q98" s="5" t="s">
        <v>19</v>
      </c>
    </row>
    <row r="99" spans="1:17" ht="52.5" thickBot="1">
      <c r="A99" s="14" t="s">
        <v>308</v>
      </c>
      <c r="B99" s="19" t="s">
        <v>30</v>
      </c>
      <c r="C99" s="5" t="s">
        <v>309</v>
      </c>
      <c r="D99" s="5">
        <v>4</v>
      </c>
      <c r="E99" s="4" t="s">
        <v>416</v>
      </c>
      <c r="F99" s="4" t="s">
        <v>342</v>
      </c>
      <c r="G99" s="4" t="s">
        <v>417</v>
      </c>
      <c r="H99" s="4" t="s">
        <v>69</v>
      </c>
      <c r="I99" s="4" t="s">
        <v>288</v>
      </c>
      <c r="J99" s="4" t="s">
        <v>289</v>
      </c>
      <c r="K99" s="5">
        <v>2</v>
      </c>
      <c r="L99" s="5" t="s">
        <v>16</v>
      </c>
      <c r="M99" s="5">
        <v>1</v>
      </c>
      <c r="N99" s="4" t="s">
        <v>290</v>
      </c>
      <c r="O99" s="5" t="s">
        <v>17</v>
      </c>
      <c r="P99" s="5" t="s">
        <v>20</v>
      </c>
      <c r="Q99" s="5" t="s">
        <v>19</v>
      </c>
    </row>
    <row r="100" spans="1:17" ht="52">
      <c r="A100" s="12" t="s">
        <v>310</v>
      </c>
      <c r="B100" s="18" t="s">
        <v>30</v>
      </c>
      <c r="C100" s="3" t="s">
        <v>311</v>
      </c>
      <c r="D100" s="3">
        <v>4</v>
      </c>
      <c r="E100" s="2" t="s">
        <v>418</v>
      </c>
      <c r="F100" s="2" t="s">
        <v>342</v>
      </c>
      <c r="G100" s="2" t="s">
        <v>419</v>
      </c>
      <c r="H100" s="2" t="s">
        <v>69</v>
      </c>
      <c r="I100" s="2" t="s">
        <v>288</v>
      </c>
      <c r="J100" s="2" t="s">
        <v>289</v>
      </c>
      <c r="K100" s="3">
        <v>2</v>
      </c>
      <c r="L100" s="3" t="s">
        <v>16</v>
      </c>
      <c r="M100" s="3">
        <v>1</v>
      </c>
      <c r="N100" s="2" t="s">
        <v>290</v>
      </c>
      <c r="O100" s="3" t="s">
        <v>17</v>
      </c>
      <c r="P100" s="3" t="s">
        <v>20</v>
      </c>
      <c r="Q100" s="3" t="s">
        <v>19</v>
      </c>
    </row>
    <row r="101" spans="1:17" ht="52">
      <c r="A101" s="14" t="s">
        <v>312</v>
      </c>
      <c r="B101" s="19" t="s">
        <v>30</v>
      </c>
      <c r="C101" s="5" t="s">
        <v>29</v>
      </c>
      <c r="D101" s="5">
        <v>4</v>
      </c>
      <c r="E101" s="4" t="s">
        <v>420</v>
      </c>
      <c r="F101" s="4" t="s">
        <v>342</v>
      </c>
      <c r="G101" s="4" t="s">
        <v>421</v>
      </c>
      <c r="H101" s="4" t="s">
        <v>69</v>
      </c>
      <c r="I101" s="4" t="s">
        <v>288</v>
      </c>
      <c r="J101" s="4" t="s">
        <v>289</v>
      </c>
      <c r="K101" s="5">
        <v>2</v>
      </c>
      <c r="L101" s="5" t="s">
        <v>16</v>
      </c>
      <c r="M101" s="5">
        <v>1</v>
      </c>
      <c r="N101" s="4" t="s">
        <v>290</v>
      </c>
      <c r="O101" s="5" t="s">
        <v>17</v>
      </c>
      <c r="P101" s="5" t="s">
        <v>18</v>
      </c>
      <c r="Q101" s="5" t="s">
        <v>19</v>
      </c>
    </row>
    <row r="102" spans="1:17">
      <c r="A102" s="14"/>
      <c r="B102" s="19"/>
      <c r="C102" s="5"/>
      <c r="D102" s="5"/>
      <c r="E102" s="4"/>
      <c r="F102" s="4"/>
      <c r="G102" s="4"/>
      <c r="H102" s="4"/>
      <c r="I102" s="4"/>
      <c r="J102" s="4"/>
      <c r="K102" s="5"/>
      <c r="L102" s="5"/>
      <c r="M102" s="5"/>
      <c r="N102" s="4"/>
      <c r="O102" s="5"/>
      <c r="P102" s="5"/>
      <c r="Q102" s="5"/>
    </row>
    <row r="103" spans="1:17">
      <c r="A103" s="14"/>
      <c r="B103" s="19"/>
      <c r="C103" s="5"/>
      <c r="D103" s="5"/>
      <c r="E103" s="4"/>
      <c r="F103" s="4"/>
      <c r="G103" s="4"/>
      <c r="H103" s="4"/>
      <c r="I103" s="4"/>
      <c r="J103" s="4"/>
      <c r="K103" s="5"/>
      <c r="L103" s="5"/>
      <c r="M103" s="5"/>
      <c r="N103" s="4"/>
      <c r="O103" s="5"/>
      <c r="P103" s="5"/>
      <c r="Q103" s="5"/>
    </row>
    <row r="104" spans="1:17">
      <c r="A104" s="14"/>
      <c r="B104" s="19"/>
      <c r="C104" s="5"/>
      <c r="D104" s="5"/>
      <c r="E104" s="4"/>
      <c r="F104" s="4"/>
      <c r="G104" s="4"/>
      <c r="H104" s="4"/>
      <c r="I104" s="4"/>
      <c r="J104" s="4"/>
      <c r="K104" s="5"/>
      <c r="L104" s="5"/>
      <c r="M104" s="5"/>
      <c r="N104" s="4"/>
      <c r="O104" s="5"/>
      <c r="P104" s="5"/>
      <c r="Q104" s="5"/>
    </row>
    <row r="105" spans="1:17">
      <c r="A105" s="14"/>
      <c r="B105" s="19"/>
      <c r="C105" s="5"/>
      <c r="D105" s="5"/>
      <c r="E105" s="4"/>
      <c r="F105" s="4"/>
      <c r="G105" s="4"/>
      <c r="H105" s="4"/>
      <c r="I105" s="4"/>
      <c r="J105" s="4"/>
      <c r="K105" s="5"/>
      <c r="L105" s="5"/>
      <c r="M105" s="5"/>
      <c r="N105" s="4"/>
      <c r="O105" s="5"/>
      <c r="P105" s="5"/>
      <c r="Q105" s="5"/>
    </row>
    <row r="106" spans="1:17">
      <c r="A106" s="14"/>
      <c r="B106" s="19"/>
      <c r="C106" s="5"/>
      <c r="D106" s="5"/>
      <c r="E106" s="4"/>
      <c r="F106" s="4"/>
      <c r="G106" s="4"/>
      <c r="H106" s="4"/>
      <c r="I106" s="4"/>
      <c r="J106" s="4"/>
      <c r="K106" s="5"/>
      <c r="L106" s="5"/>
      <c r="M106" s="5"/>
      <c r="N106" s="4"/>
      <c r="O106" s="5"/>
      <c r="P106" s="5"/>
      <c r="Q106" s="5"/>
    </row>
    <row r="107" spans="1:17">
      <c r="A107" s="14"/>
      <c r="B107" s="19"/>
      <c r="C107" s="5"/>
      <c r="D107" s="5"/>
      <c r="E107" s="4"/>
      <c r="F107" s="4"/>
      <c r="G107" s="4"/>
      <c r="H107" s="4"/>
      <c r="I107" s="4"/>
      <c r="J107" s="4"/>
      <c r="K107" s="5"/>
      <c r="L107" s="5"/>
      <c r="M107" s="5"/>
      <c r="N107" s="4"/>
      <c r="O107" s="5"/>
      <c r="P107" s="5"/>
      <c r="Q107" s="5"/>
    </row>
    <row r="108" spans="1:17">
      <c r="A108" s="14"/>
      <c r="B108" s="19"/>
      <c r="C108" s="5"/>
      <c r="D108" s="5"/>
      <c r="E108" s="4"/>
      <c r="F108" s="4"/>
      <c r="G108" s="4"/>
      <c r="H108" s="4"/>
      <c r="I108" s="4"/>
      <c r="J108" s="4"/>
      <c r="K108" s="5"/>
      <c r="L108" s="5"/>
      <c r="M108" s="5"/>
      <c r="N108" s="4"/>
      <c r="O108" s="5"/>
      <c r="P108" s="5"/>
      <c r="Q108" s="5"/>
    </row>
    <row r="109" spans="1:17">
      <c r="A109" s="14"/>
      <c r="B109" s="19"/>
      <c r="C109" s="5"/>
      <c r="D109" s="5"/>
      <c r="E109" s="4"/>
      <c r="F109" s="4"/>
      <c r="G109" s="4"/>
      <c r="H109" s="4"/>
      <c r="I109" s="4"/>
      <c r="J109" s="4"/>
      <c r="K109" s="5"/>
      <c r="L109" s="5"/>
      <c r="M109" s="5"/>
      <c r="N109" s="4"/>
      <c r="O109" s="5"/>
      <c r="P109" s="5"/>
      <c r="Q109" s="5"/>
    </row>
    <row r="110" spans="1:17">
      <c r="A110" s="14"/>
      <c r="B110" s="19"/>
      <c r="C110" s="5"/>
      <c r="D110" s="5"/>
      <c r="E110" s="4"/>
      <c r="F110" s="4"/>
      <c r="G110" s="4"/>
      <c r="H110" s="4"/>
      <c r="I110" s="4"/>
      <c r="J110" s="4"/>
      <c r="K110" s="5"/>
      <c r="L110" s="5"/>
      <c r="M110" s="5"/>
      <c r="N110" s="4"/>
      <c r="O110" s="5"/>
      <c r="P110" s="5"/>
      <c r="Q110" s="5"/>
    </row>
    <row r="111" spans="1:17">
      <c r="A111" s="14"/>
      <c r="B111" s="19"/>
      <c r="C111" s="5"/>
      <c r="D111" s="5"/>
      <c r="E111" s="4"/>
      <c r="F111" s="4"/>
      <c r="G111" s="4"/>
      <c r="H111" s="4"/>
      <c r="I111" s="4"/>
      <c r="J111" s="4"/>
      <c r="K111" s="5"/>
      <c r="L111" s="5"/>
      <c r="M111" s="5"/>
      <c r="N111" s="4"/>
      <c r="O111" s="5"/>
      <c r="P111" s="5"/>
      <c r="Q111" s="5"/>
    </row>
    <row r="112" spans="1:17">
      <c r="A112" s="14"/>
      <c r="B112" s="19"/>
      <c r="C112" s="5"/>
      <c r="D112" s="5"/>
      <c r="E112" s="4"/>
      <c r="F112" s="4"/>
      <c r="G112" s="4"/>
      <c r="H112" s="4"/>
      <c r="I112" s="4"/>
      <c r="J112" s="4"/>
      <c r="K112" s="5"/>
      <c r="L112" s="5"/>
      <c r="M112" s="5"/>
      <c r="N112" s="4"/>
      <c r="O112" s="5"/>
      <c r="P112" s="5"/>
      <c r="Q112" s="5"/>
    </row>
    <row r="113" spans="1:17" ht="14.5" thickBot="1">
      <c r="A113" s="14"/>
      <c r="B113" s="19"/>
      <c r="C113" s="5"/>
      <c r="D113" s="5"/>
      <c r="E113" s="4"/>
      <c r="F113" s="4"/>
      <c r="G113" s="4"/>
      <c r="H113" s="4"/>
      <c r="I113" s="4"/>
      <c r="J113" s="4"/>
      <c r="K113" s="5"/>
      <c r="L113" s="5"/>
      <c r="M113" s="5"/>
      <c r="N113" s="4"/>
      <c r="O113" s="5"/>
      <c r="P113" s="5"/>
      <c r="Q113" s="5"/>
    </row>
    <row r="114" spans="1:17">
      <c r="A114" s="12"/>
      <c r="B114" s="18"/>
      <c r="C114" s="3"/>
      <c r="D114" s="3"/>
      <c r="E114" s="2"/>
      <c r="F114" s="2"/>
      <c r="G114" s="2"/>
      <c r="H114" s="2"/>
      <c r="I114" s="2"/>
      <c r="J114" s="2"/>
      <c r="K114" s="3"/>
      <c r="L114" s="3"/>
      <c r="M114" s="3"/>
      <c r="N114" s="2"/>
      <c r="O114" s="3"/>
      <c r="P114" s="3"/>
      <c r="Q114" s="3"/>
    </row>
    <row r="115" spans="1:17">
      <c r="A115" s="14"/>
      <c r="B115" s="19"/>
      <c r="C115" s="5"/>
      <c r="D115" s="5"/>
      <c r="E115" s="4"/>
      <c r="F115" s="4"/>
      <c r="G115" s="4"/>
      <c r="H115" s="4"/>
      <c r="I115" s="4"/>
      <c r="J115" s="4"/>
      <c r="K115" s="5"/>
      <c r="L115" s="5"/>
      <c r="M115" s="5"/>
      <c r="N115" s="4"/>
      <c r="O115" s="5"/>
      <c r="P115" s="5"/>
      <c r="Q115" s="5"/>
    </row>
    <row r="116" spans="1:17">
      <c r="A116" s="14"/>
      <c r="B116" s="19"/>
      <c r="C116" s="5"/>
      <c r="D116" s="5"/>
      <c r="E116" s="4"/>
      <c r="F116" s="4"/>
      <c r="G116" s="4"/>
      <c r="H116" s="4"/>
      <c r="I116" s="4"/>
      <c r="J116" s="4"/>
      <c r="K116" s="5"/>
      <c r="L116" s="5"/>
      <c r="M116" s="5"/>
      <c r="N116" s="4"/>
      <c r="O116" s="5"/>
      <c r="P116" s="5"/>
      <c r="Q116" s="5"/>
    </row>
    <row r="117" spans="1:17">
      <c r="A117" s="14"/>
      <c r="B117" s="19"/>
      <c r="C117" s="5"/>
      <c r="D117" s="5"/>
      <c r="E117" s="4"/>
      <c r="F117" s="4"/>
      <c r="G117" s="4"/>
      <c r="H117" s="4"/>
      <c r="I117" s="4"/>
      <c r="J117" s="4"/>
      <c r="K117" s="5"/>
      <c r="L117" s="5"/>
      <c r="M117" s="5"/>
      <c r="N117" s="4"/>
      <c r="O117" s="5"/>
      <c r="P117" s="5"/>
      <c r="Q117" s="5"/>
    </row>
    <row r="118" spans="1:17">
      <c r="A118" s="14"/>
      <c r="B118" s="19"/>
      <c r="C118" s="5"/>
      <c r="D118" s="5"/>
      <c r="E118" s="4"/>
      <c r="F118" s="4"/>
      <c r="G118" s="4"/>
      <c r="H118" s="4"/>
      <c r="I118" s="4"/>
      <c r="J118" s="4"/>
      <c r="K118" s="5"/>
      <c r="L118" s="5"/>
      <c r="M118" s="5"/>
      <c r="N118" s="4"/>
      <c r="O118" s="5"/>
      <c r="P118" s="5"/>
      <c r="Q118" s="5"/>
    </row>
    <row r="119" spans="1:17">
      <c r="A119" s="14"/>
      <c r="B119" s="19"/>
      <c r="C119" s="5"/>
      <c r="D119" s="5"/>
      <c r="E119" s="4"/>
      <c r="F119" s="4"/>
      <c r="G119" s="4"/>
      <c r="H119" s="4"/>
      <c r="I119" s="4"/>
      <c r="J119" s="4"/>
      <c r="K119" s="5"/>
      <c r="L119" s="5"/>
      <c r="M119" s="5"/>
      <c r="N119" s="4"/>
      <c r="O119" s="5"/>
      <c r="P119" s="5"/>
      <c r="Q119" s="5"/>
    </row>
    <row r="120" spans="1:17">
      <c r="A120" s="14"/>
      <c r="B120" s="19"/>
      <c r="C120" s="5"/>
      <c r="D120" s="5"/>
      <c r="E120" s="4"/>
      <c r="F120" s="4"/>
      <c r="G120" s="4"/>
      <c r="H120" s="4"/>
      <c r="I120" s="4"/>
      <c r="J120" s="4"/>
      <c r="K120" s="5"/>
      <c r="L120" s="5"/>
      <c r="M120" s="5"/>
      <c r="N120" s="4"/>
      <c r="O120" s="5"/>
      <c r="P120" s="5"/>
      <c r="Q120" s="5"/>
    </row>
    <row r="121" spans="1:17">
      <c r="A121" s="14"/>
      <c r="B121" s="19"/>
      <c r="C121" s="5"/>
      <c r="D121" s="5"/>
      <c r="E121" s="4"/>
      <c r="F121" s="4"/>
      <c r="G121" s="4"/>
      <c r="H121" s="4"/>
      <c r="I121" s="4"/>
      <c r="J121" s="4"/>
      <c r="K121" s="5"/>
      <c r="L121" s="5"/>
      <c r="M121" s="5"/>
      <c r="N121" s="4"/>
      <c r="O121" s="5"/>
      <c r="P121" s="5"/>
      <c r="Q121" s="5"/>
    </row>
    <row r="122" spans="1:17">
      <c r="A122" s="14"/>
      <c r="B122" s="19"/>
      <c r="C122" s="5"/>
      <c r="D122" s="5"/>
      <c r="E122" s="4"/>
      <c r="F122" s="4"/>
      <c r="G122" s="4"/>
      <c r="H122" s="4"/>
      <c r="I122" s="4"/>
      <c r="J122" s="4"/>
      <c r="K122" s="5"/>
      <c r="L122" s="5"/>
      <c r="M122" s="5"/>
      <c r="N122" s="4"/>
      <c r="O122" s="5"/>
      <c r="P122" s="5"/>
      <c r="Q122" s="5"/>
    </row>
    <row r="123" spans="1:17" ht="14.5" thickBot="1">
      <c r="A123" s="14"/>
      <c r="B123" s="19"/>
      <c r="C123" s="5"/>
      <c r="D123" s="5"/>
      <c r="E123" s="4"/>
      <c r="F123" s="4"/>
      <c r="G123" s="4"/>
      <c r="H123" s="4"/>
      <c r="I123" s="4"/>
      <c r="J123" s="4"/>
      <c r="K123" s="5"/>
      <c r="L123" s="5"/>
      <c r="M123" s="5"/>
      <c r="N123" s="4"/>
      <c r="O123" s="5"/>
      <c r="P123" s="5"/>
      <c r="Q123" s="5"/>
    </row>
    <row r="124" spans="1:17">
      <c r="A124" s="12"/>
      <c r="B124" s="18"/>
      <c r="C124" s="3"/>
      <c r="D124" s="3"/>
      <c r="E124" s="2"/>
      <c r="F124" s="2"/>
      <c r="G124" s="2"/>
      <c r="H124" s="2"/>
      <c r="I124" s="2"/>
      <c r="J124" s="2"/>
      <c r="K124" s="3"/>
      <c r="L124" s="3"/>
      <c r="M124" s="3"/>
      <c r="N124" s="2"/>
      <c r="O124" s="3"/>
      <c r="P124" s="3"/>
      <c r="Q124" s="3"/>
    </row>
    <row r="125" spans="1:17">
      <c r="A125" s="14"/>
      <c r="B125" s="19"/>
      <c r="C125" s="5"/>
      <c r="D125" s="5"/>
      <c r="E125" s="4"/>
      <c r="F125" s="4"/>
      <c r="G125" s="4"/>
      <c r="H125" s="4"/>
      <c r="I125" s="4"/>
      <c r="J125" s="4"/>
      <c r="K125" s="5"/>
      <c r="L125" s="5"/>
      <c r="M125" s="5"/>
      <c r="N125" s="4"/>
      <c r="O125" s="5"/>
      <c r="P125" s="5"/>
      <c r="Q125" s="5"/>
    </row>
    <row r="126" spans="1:17">
      <c r="A126" s="14"/>
      <c r="B126" s="19"/>
      <c r="C126" s="5"/>
      <c r="D126" s="5"/>
      <c r="E126" s="4"/>
      <c r="F126" s="4"/>
      <c r="G126" s="4"/>
      <c r="H126" s="4"/>
      <c r="I126" s="4"/>
      <c r="J126" s="4"/>
      <c r="K126" s="5"/>
      <c r="L126" s="5"/>
      <c r="M126" s="5"/>
      <c r="N126" s="4"/>
      <c r="O126" s="5"/>
      <c r="P126" s="5"/>
      <c r="Q126" s="5"/>
    </row>
    <row r="127" spans="1:17">
      <c r="A127" s="14"/>
      <c r="B127" s="19"/>
      <c r="C127" s="5"/>
      <c r="D127" s="5"/>
      <c r="E127" s="4"/>
      <c r="F127" s="4"/>
      <c r="G127" s="4"/>
      <c r="H127" s="4"/>
      <c r="I127" s="4"/>
      <c r="J127" s="4"/>
      <c r="K127" s="5"/>
      <c r="L127" s="5"/>
      <c r="M127" s="5"/>
      <c r="N127" s="4"/>
      <c r="O127" s="5"/>
      <c r="P127" s="5"/>
      <c r="Q127" s="5"/>
    </row>
    <row r="128" spans="1:17">
      <c r="A128" s="14"/>
      <c r="B128" s="19"/>
      <c r="C128" s="5"/>
      <c r="D128" s="5"/>
      <c r="E128" s="4"/>
      <c r="F128" s="4"/>
      <c r="G128" s="4"/>
      <c r="H128" s="4"/>
      <c r="I128" s="4"/>
      <c r="J128" s="4"/>
      <c r="K128" s="5"/>
      <c r="L128" s="5"/>
      <c r="M128" s="5"/>
      <c r="N128" s="4"/>
      <c r="O128" s="5"/>
      <c r="P128" s="5"/>
      <c r="Q128" s="5"/>
    </row>
    <row r="129" spans="1:17">
      <c r="A129" s="14"/>
      <c r="B129" s="19"/>
      <c r="C129" s="5"/>
      <c r="D129" s="5"/>
      <c r="E129" s="4"/>
      <c r="F129" s="4"/>
      <c r="G129" s="4"/>
      <c r="H129" s="4"/>
      <c r="I129" s="4"/>
      <c r="J129" s="4"/>
      <c r="K129" s="5"/>
      <c r="L129" s="5"/>
      <c r="M129" s="5"/>
      <c r="N129" s="4"/>
      <c r="O129" s="5"/>
      <c r="P129" s="5"/>
      <c r="Q129" s="5"/>
    </row>
    <row r="130" spans="1:17" ht="14.5" thickBot="1">
      <c r="A130" s="14"/>
      <c r="B130" s="19"/>
      <c r="C130" s="5"/>
      <c r="D130" s="5"/>
      <c r="E130" s="4"/>
      <c r="F130" s="4"/>
      <c r="G130" s="4"/>
      <c r="H130" s="4"/>
      <c r="I130" s="4"/>
      <c r="J130" s="4"/>
      <c r="K130" s="5"/>
      <c r="L130" s="5"/>
      <c r="M130" s="5"/>
      <c r="N130" s="4"/>
      <c r="O130" s="5"/>
      <c r="P130" s="5"/>
      <c r="Q130" s="5"/>
    </row>
    <row r="131" spans="1:17">
      <c r="A131" s="12"/>
      <c r="B131" s="18"/>
      <c r="C131" s="3"/>
      <c r="D131" s="3"/>
      <c r="E131" s="2"/>
      <c r="F131" s="2"/>
      <c r="G131" s="2"/>
      <c r="H131" s="2"/>
      <c r="I131" s="2"/>
      <c r="J131" s="2"/>
      <c r="K131" s="3"/>
      <c r="L131" s="3"/>
      <c r="M131" s="3"/>
      <c r="N131" s="2"/>
      <c r="O131" s="3"/>
      <c r="P131" s="3"/>
      <c r="Q131" s="3"/>
    </row>
    <row r="132" spans="1:17">
      <c r="A132" s="14"/>
      <c r="B132" s="19"/>
      <c r="C132" s="5"/>
      <c r="D132" s="5"/>
      <c r="E132" s="4"/>
      <c r="F132" s="4"/>
      <c r="G132" s="4"/>
      <c r="H132" s="4"/>
      <c r="I132" s="4"/>
      <c r="J132" s="4"/>
      <c r="K132" s="5"/>
      <c r="L132" s="5"/>
      <c r="M132" s="5"/>
      <c r="N132" s="4"/>
      <c r="O132" s="5"/>
      <c r="P132" s="5"/>
      <c r="Q132" s="5"/>
    </row>
    <row r="133" spans="1:17" ht="14.5" thickBot="1">
      <c r="A133" s="14"/>
      <c r="B133" s="19"/>
      <c r="C133" s="5"/>
      <c r="D133" s="5"/>
      <c r="E133" s="4"/>
      <c r="F133" s="4"/>
      <c r="G133" s="4"/>
      <c r="H133" s="4"/>
      <c r="I133" s="4"/>
      <c r="J133" s="4"/>
      <c r="K133" s="5"/>
      <c r="L133" s="5"/>
      <c r="M133" s="5"/>
      <c r="N133" s="4"/>
      <c r="O133" s="5"/>
      <c r="P133" s="5"/>
      <c r="Q133" s="5"/>
    </row>
    <row r="134" spans="1:17">
      <c r="A134" s="12"/>
      <c r="B134" s="20"/>
      <c r="C134" s="3"/>
      <c r="D134" s="3"/>
      <c r="E134" s="2"/>
      <c r="F134" s="2"/>
      <c r="G134" s="2"/>
      <c r="H134" s="2"/>
      <c r="I134" s="2"/>
      <c r="J134" s="2"/>
      <c r="K134" s="3"/>
      <c r="L134" s="3"/>
      <c r="M134" s="3"/>
      <c r="N134" s="2"/>
      <c r="O134" s="3"/>
      <c r="P134" s="3"/>
      <c r="Q134" s="3"/>
    </row>
    <row r="135" spans="1:17">
      <c r="A135" s="14"/>
      <c r="B135" s="21"/>
      <c r="C135" s="5"/>
      <c r="D135" s="5"/>
      <c r="E135" s="4"/>
      <c r="F135" s="4"/>
      <c r="G135" s="4"/>
      <c r="H135" s="4"/>
      <c r="I135" s="4"/>
      <c r="J135" s="4"/>
      <c r="K135" s="5"/>
      <c r="L135" s="5"/>
      <c r="M135" s="5"/>
      <c r="N135" s="4"/>
      <c r="O135" s="5"/>
      <c r="P135" s="5"/>
      <c r="Q135" s="5"/>
    </row>
    <row r="136" spans="1:17">
      <c r="A136" s="14"/>
      <c r="B136" s="21"/>
      <c r="C136" s="5"/>
      <c r="D136" s="5"/>
      <c r="E136" s="4"/>
      <c r="F136" s="4"/>
      <c r="G136" s="4"/>
      <c r="H136" s="4"/>
      <c r="I136" s="4"/>
      <c r="J136" s="4"/>
      <c r="K136" s="5"/>
      <c r="L136" s="5"/>
      <c r="M136" s="5"/>
      <c r="N136" s="4"/>
      <c r="O136" s="5"/>
      <c r="P136" s="5"/>
      <c r="Q136" s="5"/>
    </row>
    <row r="137" spans="1:17" ht="14.5" thickBot="1">
      <c r="A137" s="14"/>
      <c r="B137" s="21"/>
      <c r="C137" s="5"/>
      <c r="D137" s="5"/>
      <c r="E137" s="4"/>
      <c r="F137" s="4"/>
      <c r="G137" s="4"/>
      <c r="H137" s="4"/>
      <c r="I137" s="4"/>
      <c r="J137" s="4"/>
      <c r="K137" s="5"/>
      <c r="L137" s="5"/>
      <c r="M137" s="5"/>
      <c r="N137" s="4"/>
      <c r="O137" s="5"/>
      <c r="P137" s="5"/>
      <c r="Q137" s="5"/>
    </row>
    <row r="138" spans="1:17">
      <c r="A138" s="12"/>
      <c r="B138" s="20"/>
      <c r="C138" s="3"/>
      <c r="D138" s="3"/>
      <c r="E138" s="2"/>
      <c r="F138" s="2"/>
      <c r="G138" s="2"/>
      <c r="H138" s="2"/>
      <c r="I138" s="2"/>
      <c r="J138" s="2"/>
      <c r="K138" s="3"/>
      <c r="L138" s="3"/>
      <c r="M138" s="3"/>
      <c r="N138" s="2"/>
      <c r="O138" s="3"/>
      <c r="P138" s="3"/>
      <c r="Q138" s="3"/>
    </row>
    <row r="139" spans="1:17">
      <c r="A139" s="14"/>
      <c r="B139" s="21"/>
      <c r="C139" s="5"/>
      <c r="D139" s="5"/>
      <c r="E139" s="4"/>
      <c r="F139" s="4"/>
      <c r="G139" s="4"/>
      <c r="H139" s="4"/>
      <c r="I139" s="4"/>
      <c r="J139" s="4"/>
      <c r="K139" s="5"/>
      <c r="L139" s="5"/>
      <c r="M139" s="5"/>
      <c r="N139" s="4"/>
      <c r="O139" s="5"/>
      <c r="P139" s="5"/>
      <c r="Q139" s="5"/>
    </row>
    <row r="140" spans="1:17" ht="14.5" thickBot="1">
      <c r="A140" s="14"/>
      <c r="B140" s="21"/>
      <c r="C140" s="5"/>
      <c r="D140" s="5"/>
      <c r="E140" s="4"/>
      <c r="F140" s="4"/>
      <c r="G140" s="4"/>
      <c r="H140" s="4"/>
      <c r="I140" s="4"/>
      <c r="J140" s="4"/>
      <c r="K140" s="5"/>
      <c r="L140" s="5"/>
      <c r="M140" s="5"/>
      <c r="N140" s="4"/>
      <c r="O140" s="5"/>
      <c r="P140" s="5"/>
      <c r="Q140" s="5"/>
    </row>
    <row r="141" spans="1:17">
      <c r="A141" s="12"/>
      <c r="B141" s="20"/>
      <c r="C141" s="3"/>
      <c r="D141" s="3"/>
      <c r="E141" s="2"/>
      <c r="F141" s="2"/>
      <c r="G141" s="2"/>
      <c r="H141" s="2"/>
      <c r="I141" s="2"/>
      <c r="J141" s="2"/>
      <c r="K141" s="3"/>
      <c r="L141" s="3"/>
      <c r="M141" s="3"/>
      <c r="N141" s="2"/>
      <c r="O141" s="3"/>
      <c r="P141" s="3"/>
      <c r="Q141" s="3"/>
    </row>
    <row r="142" spans="1:17" ht="14.5" thickBot="1">
      <c r="A142" s="14"/>
      <c r="B142" s="21"/>
      <c r="C142" s="5"/>
      <c r="D142" s="5"/>
      <c r="E142" s="4"/>
      <c r="F142" s="4"/>
      <c r="G142" s="4"/>
      <c r="H142" s="4"/>
      <c r="I142" s="4"/>
      <c r="J142" s="4"/>
      <c r="K142" s="5"/>
      <c r="L142" s="5"/>
      <c r="M142" s="5"/>
      <c r="N142" s="4"/>
      <c r="O142" s="5"/>
      <c r="P142" s="5"/>
      <c r="Q142" s="5"/>
    </row>
    <row r="143" spans="1:17" ht="14.5" thickBot="1">
      <c r="A143" s="12"/>
      <c r="B143" s="20"/>
      <c r="C143" s="3"/>
      <c r="D143" s="3"/>
      <c r="E143" s="2"/>
      <c r="F143" s="2"/>
      <c r="G143" s="2"/>
      <c r="H143" s="2"/>
      <c r="I143" s="2"/>
      <c r="J143" s="2"/>
      <c r="K143" s="3"/>
      <c r="L143" s="3"/>
      <c r="M143" s="3"/>
      <c r="N143" s="2"/>
      <c r="O143" s="3"/>
      <c r="P143" s="3"/>
      <c r="Q143" s="3"/>
    </row>
    <row r="144" spans="1:17" ht="14.5" thickBot="1">
      <c r="A144" s="12"/>
      <c r="B144" s="22"/>
      <c r="C144" s="3"/>
      <c r="D144" s="3"/>
      <c r="E144" s="2"/>
      <c r="F144" s="2"/>
      <c r="G144" s="2"/>
      <c r="H144" s="2"/>
      <c r="I144" s="2"/>
      <c r="J144" s="2"/>
      <c r="K144" s="3"/>
      <c r="L144" s="3"/>
      <c r="M144" s="3"/>
      <c r="N144" s="2"/>
      <c r="O144" s="3"/>
      <c r="P144" s="3"/>
      <c r="Q144" s="3"/>
    </row>
    <row r="145" spans="1:17">
      <c r="A145" s="12"/>
      <c r="B145" s="22"/>
      <c r="C145" s="3"/>
      <c r="D145" s="3"/>
      <c r="E145" s="2"/>
      <c r="F145" s="2"/>
      <c r="G145" s="2"/>
      <c r="H145" s="2"/>
      <c r="I145" s="2"/>
      <c r="J145" s="2"/>
      <c r="K145" s="3"/>
      <c r="L145" s="3"/>
      <c r="M145" s="3"/>
      <c r="N145" s="2"/>
      <c r="O145" s="3"/>
      <c r="P145" s="3"/>
      <c r="Q145" s="3"/>
    </row>
    <row r="146" spans="1:17" ht="14.5" thickBot="1">
      <c r="A146" s="14"/>
      <c r="B146" s="23"/>
      <c r="C146" s="5"/>
      <c r="D146" s="5"/>
      <c r="E146" s="4"/>
      <c r="F146" s="4"/>
      <c r="G146" s="4"/>
      <c r="H146" s="4"/>
      <c r="I146" s="4"/>
      <c r="J146" s="4"/>
      <c r="K146" s="5"/>
      <c r="L146" s="5"/>
      <c r="M146" s="5"/>
      <c r="N146" s="4"/>
      <c r="O146" s="5"/>
      <c r="P146" s="5"/>
      <c r="Q146" s="5"/>
    </row>
    <row r="147" spans="1:17" ht="14.5" thickBot="1">
      <c r="A147" s="12"/>
      <c r="B147" s="22"/>
      <c r="C147" s="3"/>
      <c r="D147" s="3"/>
      <c r="E147" s="2"/>
      <c r="F147" s="2"/>
      <c r="G147" s="2"/>
      <c r="H147" s="2"/>
      <c r="I147" s="2"/>
      <c r="J147" s="2"/>
      <c r="K147" s="3"/>
      <c r="L147" s="3"/>
      <c r="M147" s="3"/>
      <c r="N147" s="2"/>
      <c r="O147" s="3"/>
      <c r="P147" s="3"/>
      <c r="Q147" s="3"/>
    </row>
    <row r="148" spans="1:17" ht="14.5" thickBot="1">
      <c r="A148" s="12"/>
      <c r="B148" s="22"/>
      <c r="C148" s="3"/>
      <c r="D148" s="3"/>
      <c r="E148" s="2"/>
      <c r="F148" s="2"/>
      <c r="G148" s="2"/>
      <c r="H148" s="2"/>
      <c r="I148" s="2"/>
      <c r="J148" s="2"/>
      <c r="K148" s="3"/>
      <c r="L148" s="3"/>
      <c r="M148" s="3"/>
      <c r="N148" s="2"/>
      <c r="O148" s="3"/>
      <c r="P148" s="3"/>
      <c r="Q148" s="3"/>
    </row>
    <row r="149" spans="1:17" ht="14.5" thickBot="1">
      <c r="A149" s="12"/>
      <c r="B149" s="24"/>
      <c r="C149" s="3"/>
      <c r="D149" s="3"/>
      <c r="E149" s="2"/>
      <c r="F149" s="2"/>
      <c r="G149" s="2"/>
      <c r="H149" s="2"/>
      <c r="I149" s="2"/>
      <c r="J149" s="2"/>
      <c r="K149" s="3"/>
      <c r="L149" s="3"/>
      <c r="M149" s="3"/>
      <c r="N149" s="2"/>
      <c r="O149" s="3"/>
      <c r="P149" s="3"/>
      <c r="Q149" s="3"/>
    </row>
    <row r="150" spans="1:17">
      <c r="A150" s="12"/>
      <c r="B150" s="25"/>
      <c r="C150" s="3"/>
      <c r="D150" s="3"/>
      <c r="E150" s="2"/>
      <c r="F150" s="2"/>
      <c r="G150" s="2"/>
      <c r="H150" s="2"/>
      <c r="I150" s="2"/>
      <c r="J150" s="2"/>
      <c r="K150" s="3"/>
      <c r="L150" s="3"/>
      <c r="M150" s="3"/>
      <c r="N150" s="2"/>
      <c r="O150" s="3"/>
      <c r="P150" s="3"/>
      <c r="Q150" s="3"/>
    </row>
    <row r="151" spans="1:17">
      <c r="A151" s="14"/>
      <c r="B151" s="26"/>
      <c r="C151" s="5"/>
      <c r="D151" s="5"/>
      <c r="E151" s="4"/>
      <c r="F151" s="4"/>
      <c r="G151" s="4"/>
      <c r="H151" s="4"/>
      <c r="I151" s="4"/>
      <c r="J151" s="4"/>
      <c r="K151" s="5"/>
      <c r="L151" s="5"/>
      <c r="M151" s="5"/>
      <c r="N151" s="4"/>
      <c r="O151" s="5"/>
      <c r="P151" s="5"/>
      <c r="Q151" s="5"/>
    </row>
    <row r="152" spans="1:17">
      <c r="A152" s="14"/>
      <c r="B152" s="26"/>
      <c r="C152" s="5"/>
      <c r="D152" s="5"/>
      <c r="E152" s="4"/>
      <c r="F152" s="4"/>
      <c r="G152" s="4"/>
      <c r="H152" s="4"/>
      <c r="I152" s="4"/>
      <c r="J152" s="4"/>
      <c r="K152" s="5"/>
      <c r="L152" s="5"/>
      <c r="M152" s="5"/>
      <c r="N152" s="4"/>
      <c r="O152" s="5"/>
      <c r="P152" s="5"/>
      <c r="Q152" s="5"/>
    </row>
    <row r="153" spans="1:17">
      <c r="A153" s="14"/>
      <c r="B153" s="26"/>
      <c r="C153" s="5"/>
      <c r="D153" s="5"/>
      <c r="E153" s="4"/>
      <c r="F153" s="4"/>
      <c r="G153" s="4"/>
      <c r="H153" s="4"/>
      <c r="I153" s="4"/>
      <c r="J153" s="4"/>
      <c r="K153" s="5"/>
      <c r="L153" s="5"/>
      <c r="M153" s="5"/>
      <c r="N153" s="4"/>
      <c r="O153" s="5"/>
      <c r="P153" s="5"/>
      <c r="Q153" s="5"/>
    </row>
    <row r="154" spans="1:17">
      <c r="A154" s="14"/>
      <c r="B154" s="26"/>
      <c r="C154" s="5"/>
      <c r="D154" s="5"/>
      <c r="E154" s="4"/>
      <c r="F154" s="4"/>
      <c r="G154" s="4"/>
      <c r="H154" s="4"/>
      <c r="I154" s="4"/>
      <c r="J154" s="4"/>
      <c r="K154" s="5"/>
      <c r="L154" s="5"/>
      <c r="M154" s="5"/>
      <c r="N154" s="4"/>
      <c r="O154" s="5"/>
      <c r="P154" s="5"/>
      <c r="Q154" s="5"/>
    </row>
    <row r="155" spans="1:17">
      <c r="A155" s="14"/>
      <c r="B155" s="26"/>
      <c r="C155" s="5"/>
      <c r="D155" s="5"/>
      <c r="E155" s="4"/>
      <c r="F155" s="4"/>
      <c r="G155" s="4"/>
      <c r="H155" s="4"/>
      <c r="I155" s="4"/>
      <c r="J155" s="4"/>
      <c r="K155" s="5"/>
      <c r="L155" s="5"/>
      <c r="M155" s="5"/>
      <c r="N155" s="4"/>
      <c r="O155" s="5"/>
      <c r="P155" s="5"/>
      <c r="Q155" s="5"/>
    </row>
    <row r="156" spans="1:17">
      <c r="A156" s="14"/>
      <c r="B156" s="26"/>
      <c r="C156" s="5"/>
      <c r="D156" s="5"/>
      <c r="E156" s="4"/>
      <c r="F156" s="4"/>
      <c r="G156" s="4"/>
      <c r="H156" s="4"/>
      <c r="I156" s="4"/>
      <c r="J156" s="4"/>
      <c r="K156" s="5"/>
      <c r="L156" s="5"/>
      <c r="M156" s="5"/>
      <c r="N156" s="4"/>
      <c r="O156" s="5"/>
      <c r="P156" s="5"/>
      <c r="Q156" s="5"/>
    </row>
    <row r="157" spans="1:17">
      <c r="A157" s="14"/>
      <c r="B157" s="26"/>
      <c r="C157" s="5"/>
      <c r="D157" s="5"/>
      <c r="E157" s="4"/>
      <c r="F157" s="4"/>
      <c r="G157" s="4"/>
      <c r="H157" s="4"/>
      <c r="I157" s="4"/>
      <c r="J157" s="4"/>
      <c r="K157" s="5"/>
      <c r="L157" s="5"/>
      <c r="M157" s="5"/>
      <c r="N157" s="4"/>
      <c r="O157" s="5"/>
      <c r="P157" s="5"/>
      <c r="Q157" s="5"/>
    </row>
    <row r="158" spans="1:17">
      <c r="A158" s="14"/>
      <c r="B158" s="26"/>
      <c r="C158" s="5"/>
      <c r="D158" s="5"/>
      <c r="E158" s="4"/>
      <c r="F158" s="4"/>
      <c r="G158" s="4"/>
      <c r="H158" s="4"/>
      <c r="I158" s="4"/>
      <c r="J158" s="4"/>
      <c r="K158" s="5"/>
      <c r="L158" s="5"/>
      <c r="M158" s="5"/>
      <c r="N158" s="4"/>
      <c r="O158" s="5"/>
      <c r="P158" s="5"/>
      <c r="Q158" s="5"/>
    </row>
    <row r="159" spans="1:17" ht="14.5" thickBot="1">
      <c r="A159" s="14"/>
      <c r="B159" s="26"/>
      <c r="C159" s="5"/>
      <c r="D159" s="5"/>
      <c r="E159" s="4"/>
      <c r="F159" s="4"/>
      <c r="G159" s="4"/>
      <c r="H159" s="4"/>
      <c r="I159" s="4"/>
      <c r="J159" s="4"/>
      <c r="K159" s="5"/>
      <c r="L159" s="5"/>
      <c r="M159" s="5"/>
      <c r="N159" s="4"/>
      <c r="O159" s="5"/>
      <c r="P159" s="5"/>
      <c r="Q159" s="5"/>
    </row>
    <row r="160" spans="1:17">
      <c r="A160" s="12"/>
      <c r="B160" s="25"/>
      <c r="C160" s="3"/>
      <c r="D160" s="3"/>
      <c r="E160" s="2"/>
      <c r="F160" s="2"/>
      <c r="G160" s="2"/>
      <c r="H160" s="2"/>
      <c r="I160" s="2"/>
      <c r="J160" s="2"/>
      <c r="K160" s="3"/>
      <c r="L160" s="3"/>
      <c r="M160" s="3"/>
      <c r="N160" s="2"/>
      <c r="O160" s="3"/>
      <c r="P160" s="3"/>
      <c r="Q160" s="3"/>
    </row>
    <row r="161" spans="1:17">
      <c r="A161" s="14"/>
      <c r="B161" s="26"/>
      <c r="C161" s="5"/>
      <c r="D161" s="5"/>
      <c r="E161" s="4"/>
      <c r="F161" s="4"/>
      <c r="G161" s="4"/>
      <c r="H161" s="4"/>
      <c r="I161" s="4"/>
      <c r="J161" s="4"/>
      <c r="K161" s="5"/>
      <c r="L161" s="5"/>
      <c r="M161" s="5"/>
      <c r="N161" s="4"/>
      <c r="O161" s="5"/>
      <c r="P161" s="5"/>
      <c r="Q161" s="5"/>
    </row>
    <row r="162" spans="1:17">
      <c r="A162" s="14"/>
      <c r="B162" s="26"/>
      <c r="C162" s="5"/>
      <c r="D162" s="5"/>
      <c r="E162" s="4"/>
      <c r="F162" s="4"/>
      <c r="G162" s="4"/>
      <c r="H162" s="4"/>
      <c r="I162" s="4"/>
      <c r="J162" s="4"/>
      <c r="K162" s="5"/>
      <c r="L162" s="5"/>
      <c r="M162" s="5"/>
      <c r="N162" s="4"/>
      <c r="O162" s="5"/>
      <c r="P162" s="5"/>
      <c r="Q162" s="5"/>
    </row>
    <row r="163" spans="1:17">
      <c r="A163" s="14"/>
      <c r="B163" s="26"/>
      <c r="C163" s="5"/>
      <c r="D163" s="5"/>
      <c r="E163" s="4"/>
      <c r="F163" s="4"/>
      <c r="G163" s="4"/>
      <c r="H163" s="4"/>
      <c r="I163" s="4"/>
      <c r="J163" s="4"/>
      <c r="K163" s="5"/>
      <c r="L163" s="5"/>
      <c r="M163" s="5"/>
      <c r="N163" s="4"/>
      <c r="O163" s="5"/>
      <c r="P163" s="5"/>
      <c r="Q163" s="5"/>
    </row>
    <row r="164" spans="1:17">
      <c r="A164" s="14"/>
      <c r="B164" s="26"/>
      <c r="C164" s="5"/>
      <c r="D164" s="5"/>
      <c r="E164" s="4"/>
      <c r="F164" s="4"/>
      <c r="G164" s="4"/>
      <c r="H164" s="4"/>
      <c r="I164" s="4"/>
      <c r="J164" s="4"/>
      <c r="K164" s="5"/>
      <c r="L164" s="5"/>
      <c r="M164" s="5"/>
      <c r="N164" s="4"/>
      <c r="O164" s="5"/>
      <c r="P164" s="5"/>
      <c r="Q164" s="5"/>
    </row>
    <row r="165" spans="1:17">
      <c r="A165" s="14"/>
      <c r="B165" s="26"/>
      <c r="C165" s="5"/>
      <c r="D165" s="5"/>
      <c r="E165" s="4"/>
      <c r="F165" s="4"/>
      <c r="G165" s="4"/>
      <c r="H165" s="4"/>
      <c r="I165" s="4"/>
      <c r="J165" s="4"/>
      <c r="K165" s="5"/>
      <c r="L165" s="5"/>
      <c r="M165" s="5"/>
      <c r="N165" s="4"/>
      <c r="O165" s="5"/>
      <c r="P165" s="5"/>
      <c r="Q165" s="5"/>
    </row>
    <row r="166" spans="1:17">
      <c r="A166" s="14"/>
      <c r="B166" s="26"/>
      <c r="C166" s="5"/>
      <c r="D166" s="5"/>
      <c r="E166" s="4"/>
      <c r="F166" s="4"/>
      <c r="G166" s="4"/>
      <c r="H166" s="4"/>
      <c r="I166" s="4"/>
      <c r="J166" s="4"/>
      <c r="K166" s="5"/>
      <c r="L166" s="5"/>
      <c r="M166" s="5"/>
      <c r="N166" s="4"/>
      <c r="O166" s="5"/>
      <c r="P166" s="5"/>
      <c r="Q166" s="5"/>
    </row>
    <row r="167" spans="1:17">
      <c r="A167" s="14"/>
      <c r="B167" s="26"/>
      <c r="C167" s="5"/>
      <c r="D167" s="5"/>
      <c r="E167" s="4"/>
      <c r="F167" s="4"/>
      <c r="G167" s="4"/>
      <c r="H167" s="4"/>
      <c r="I167" s="4"/>
      <c r="J167" s="4"/>
      <c r="K167" s="5"/>
      <c r="L167" s="5"/>
      <c r="M167" s="5"/>
      <c r="N167" s="4"/>
      <c r="O167" s="5"/>
      <c r="P167" s="5"/>
      <c r="Q167" s="5"/>
    </row>
    <row r="168" spans="1:17">
      <c r="A168" s="14"/>
      <c r="B168" s="26"/>
      <c r="C168" s="5"/>
      <c r="D168" s="5"/>
      <c r="E168" s="4"/>
      <c r="F168" s="4"/>
      <c r="G168" s="4"/>
      <c r="H168" s="4"/>
      <c r="I168" s="4"/>
      <c r="J168" s="4"/>
      <c r="K168" s="5"/>
      <c r="L168" s="5"/>
      <c r="M168" s="5"/>
      <c r="N168" s="4"/>
      <c r="O168" s="5"/>
      <c r="P168" s="5"/>
      <c r="Q168" s="5"/>
    </row>
    <row r="169" spans="1:17" ht="14.5" thickBot="1">
      <c r="A169" s="14"/>
      <c r="B169" s="26"/>
      <c r="C169" s="5"/>
      <c r="D169" s="5"/>
      <c r="E169" s="4"/>
      <c r="F169" s="4"/>
      <c r="G169" s="4"/>
      <c r="H169" s="4"/>
      <c r="I169" s="4"/>
      <c r="J169" s="4"/>
      <c r="K169" s="5"/>
      <c r="L169" s="5"/>
      <c r="M169" s="5"/>
      <c r="N169" s="4"/>
      <c r="O169" s="5"/>
      <c r="P169" s="5"/>
      <c r="Q169" s="5"/>
    </row>
    <row r="170" spans="1:17">
      <c r="A170" s="12"/>
      <c r="B170" s="25"/>
      <c r="C170" s="3"/>
      <c r="D170" s="3"/>
      <c r="E170" s="2"/>
      <c r="F170" s="2"/>
      <c r="G170" s="2"/>
      <c r="H170" s="2"/>
      <c r="I170" s="2"/>
      <c r="J170" s="2"/>
      <c r="K170" s="3"/>
      <c r="L170" s="3"/>
      <c r="M170" s="3"/>
      <c r="N170" s="2"/>
      <c r="O170" s="3"/>
      <c r="P170" s="3"/>
      <c r="Q170" s="3"/>
    </row>
    <row r="171" spans="1:17">
      <c r="A171" s="14"/>
      <c r="B171" s="26"/>
      <c r="C171" s="5"/>
      <c r="D171" s="5"/>
      <c r="E171" s="4"/>
      <c r="F171" s="4"/>
      <c r="G171" s="4"/>
      <c r="H171" s="4"/>
      <c r="I171" s="4"/>
      <c r="J171" s="4"/>
      <c r="K171" s="5"/>
      <c r="L171" s="5"/>
      <c r="M171" s="5"/>
      <c r="N171" s="4"/>
      <c r="O171" s="5"/>
      <c r="P171" s="5"/>
      <c r="Q171" s="5"/>
    </row>
    <row r="172" spans="1:17">
      <c r="A172" s="14"/>
      <c r="B172" s="26"/>
      <c r="C172" s="5"/>
      <c r="D172" s="5"/>
      <c r="E172" s="4"/>
      <c r="F172" s="4"/>
      <c r="G172" s="4"/>
      <c r="H172" s="4"/>
      <c r="I172" s="4"/>
      <c r="J172" s="4"/>
      <c r="K172" s="5"/>
      <c r="L172" s="5"/>
      <c r="M172" s="5"/>
      <c r="N172" s="4"/>
      <c r="O172" s="5"/>
      <c r="P172" s="5"/>
      <c r="Q172" s="5"/>
    </row>
    <row r="173" spans="1:17">
      <c r="A173" s="14"/>
      <c r="B173" s="26"/>
      <c r="C173" s="5"/>
      <c r="D173" s="5"/>
      <c r="E173" s="4"/>
      <c r="F173" s="4"/>
      <c r="G173" s="4"/>
      <c r="H173" s="4"/>
      <c r="I173" s="4"/>
      <c r="J173" s="4"/>
      <c r="K173" s="5"/>
      <c r="L173" s="5"/>
      <c r="M173" s="5"/>
      <c r="N173" s="4"/>
      <c r="O173" s="5"/>
      <c r="P173" s="5"/>
      <c r="Q173" s="5"/>
    </row>
    <row r="174" spans="1:17">
      <c r="A174" s="14"/>
      <c r="B174" s="26"/>
      <c r="C174" s="5"/>
      <c r="D174" s="5"/>
      <c r="E174" s="4"/>
      <c r="F174" s="4"/>
      <c r="G174" s="4"/>
      <c r="H174" s="4"/>
      <c r="I174" s="4"/>
      <c r="J174" s="4"/>
      <c r="K174" s="5"/>
      <c r="L174" s="5"/>
      <c r="M174" s="5"/>
      <c r="N174" s="4"/>
      <c r="O174" s="5"/>
      <c r="P174" s="5"/>
      <c r="Q174" s="5"/>
    </row>
    <row r="175" spans="1:17">
      <c r="A175" s="14"/>
      <c r="B175" s="26"/>
      <c r="C175" s="5"/>
      <c r="D175" s="5"/>
      <c r="E175" s="4"/>
      <c r="F175" s="4"/>
      <c r="G175" s="4"/>
      <c r="H175" s="4"/>
      <c r="I175" s="4"/>
      <c r="J175" s="4"/>
      <c r="K175" s="5"/>
      <c r="L175" s="5"/>
      <c r="M175" s="5"/>
      <c r="N175" s="4"/>
      <c r="O175" s="5"/>
      <c r="P175" s="5"/>
      <c r="Q175" s="5"/>
    </row>
    <row r="176" spans="1:17">
      <c r="A176" s="14"/>
      <c r="B176" s="26"/>
      <c r="C176" s="5"/>
      <c r="D176" s="5"/>
      <c r="E176" s="4"/>
      <c r="F176" s="4"/>
      <c r="G176" s="4"/>
      <c r="H176" s="4"/>
      <c r="I176" s="4"/>
      <c r="J176" s="4"/>
      <c r="K176" s="5"/>
      <c r="L176" s="5"/>
      <c r="M176" s="5"/>
      <c r="N176" s="4"/>
      <c r="O176" s="5"/>
      <c r="P176" s="5"/>
      <c r="Q176" s="5"/>
    </row>
    <row r="177" spans="1:17">
      <c r="A177" s="14"/>
      <c r="B177" s="26"/>
      <c r="C177" s="5"/>
      <c r="D177" s="5"/>
      <c r="E177" s="4"/>
      <c r="F177" s="4"/>
      <c r="G177" s="4"/>
      <c r="H177" s="4"/>
      <c r="I177" s="4"/>
      <c r="J177" s="4"/>
      <c r="K177" s="5"/>
      <c r="L177" s="5"/>
      <c r="M177" s="5"/>
      <c r="N177" s="4"/>
      <c r="O177" s="5"/>
      <c r="P177" s="5"/>
      <c r="Q177" s="5"/>
    </row>
    <row r="178" spans="1:17">
      <c r="A178" s="14"/>
      <c r="B178" s="26"/>
      <c r="C178" s="5"/>
      <c r="D178" s="5"/>
      <c r="E178" s="4"/>
      <c r="F178" s="4"/>
      <c r="G178" s="4"/>
      <c r="H178" s="4"/>
      <c r="I178" s="4"/>
      <c r="J178" s="4"/>
      <c r="K178" s="5"/>
      <c r="L178" s="5"/>
      <c r="M178" s="5"/>
      <c r="N178" s="4"/>
      <c r="O178" s="5"/>
      <c r="P178" s="5"/>
      <c r="Q178" s="5"/>
    </row>
    <row r="179" spans="1:17" ht="14.5" thickBot="1">
      <c r="A179" s="14"/>
      <c r="B179" s="26"/>
      <c r="C179" s="5"/>
      <c r="D179" s="5"/>
      <c r="E179" s="4"/>
      <c r="F179" s="4"/>
      <c r="G179" s="4"/>
      <c r="H179" s="4"/>
      <c r="I179" s="4"/>
      <c r="J179" s="4"/>
      <c r="K179" s="5"/>
      <c r="L179" s="5"/>
      <c r="M179" s="5"/>
      <c r="N179" s="4"/>
      <c r="O179" s="5"/>
      <c r="P179" s="5"/>
      <c r="Q179" s="5"/>
    </row>
    <row r="180" spans="1:17">
      <c r="A180" s="12"/>
      <c r="B180" s="25"/>
      <c r="C180" s="3"/>
      <c r="D180" s="3"/>
      <c r="E180" s="2"/>
      <c r="F180" s="2"/>
      <c r="G180" s="2"/>
      <c r="H180" s="2"/>
      <c r="I180" s="2"/>
      <c r="J180" s="2"/>
      <c r="K180" s="3"/>
      <c r="L180" s="3"/>
      <c r="M180" s="3"/>
      <c r="N180" s="2"/>
      <c r="O180" s="3"/>
      <c r="P180" s="3"/>
      <c r="Q180" s="3"/>
    </row>
    <row r="181" spans="1:17">
      <c r="A181" s="14"/>
      <c r="B181" s="26"/>
      <c r="C181" s="5"/>
      <c r="D181" s="5"/>
      <c r="E181" s="4"/>
      <c r="F181" s="4"/>
      <c r="G181" s="4"/>
      <c r="H181" s="4"/>
      <c r="I181" s="4"/>
      <c r="J181" s="4"/>
      <c r="K181" s="5"/>
      <c r="L181" s="5"/>
      <c r="M181" s="5"/>
      <c r="N181" s="4"/>
      <c r="O181" s="5"/>
      <c r="P181" s="5"/>
      <c r="Q181" s="5"/>
    </row>
    <row r="182" spans="1:17">
      <c r="A182" s="14"/>
      <c r="B182" s="26"/>
      <c r="C182" s="5"/>
      <c r="D182" s="5"/>
      <c r="E182" s="4"/>
      <c r="F182" s="4"/>
      <c r="G182" s="4"/>
      <c r="H182" s="4"/>
      <c r="I182" s="4"/>
      <c r="J182" s="4"/>
      <c r="K182" s="5"/>
      <c r="L182" s="5"/>
      <c r="M182" s="5"/>
      <c r="N182" s="4"/>
      <c r="O182" s="5"/>
      <c r="P182" s="5"/>
      <c r="Q182" s="5"/>
    </row>
    <row r="183" spans="1:17">
      <c r="A183" s="14"/>
      <c r="B183" s="26"/>
      <c r="C183" s="5"/>
      <c r="D183" s="5"/>
      <c r="E183" s="4"/>
      <c r="F183" s="4"/>
      <c r="G183" s="4"/>
      <c r="H183" s="4"/>
      <c r="I183" s="4"/>
      <c r="J183" s="4"/>
      <c r="K183" s="5"/>
      <c r="L183" s="5"/>
      <c r="M183" s="5"/>
      <c r="N183" s="4"/>
      <c r="O183" s="5"/>
      <c r="P183" s="5"/>
      <c r="Q183" s="5"/>
    </row>
    <row r="184" spans="1:17">
      <c r="A184" s="14"/>
      <c r="B184" s="26"/>
      <c r="C184" s="5"/>
      <c r="D184" s="5"/>
      <c r="E184" s="4"/>
      <c r="F184" s="4"/>
      <c r="G184" s="4"/>
      <c r="H184" s="4"/>
      <c r="I184" s="4"/>
      <c r="J184" s="4"/>
      <c r="K184" s="5"/>
      <c r="L184" s="5"/>
      <c r="M184" s="5"/>
      <c r="N184" s="4"/>
      <c r="O184" s="5"/>
      <c r="P184" s="5"/>
      <c r="Q184" s="5"/>
    </row>
    <row r="185" spans="1:17">
      <c r="A185" s="14"/>
      <c r="B185" s="26"/>
      <c r="C185" s="5"/>
      <c r="D185" s="5"/>
      <c r="E185" s="4"/>
      <c r="F185" s="4"/>
      <c r="G185" s="4"/>
      <c r="H185" s="4"/>
      <c r="I185" s="4"/>
      <c r="J185" s="4"/>
      <c r="K185" s="5"/>
      <c r="L185" s="5"/>
      <c r="M185" s="5"/>
      <c r="N185" s="4"/>
      <c r="O185" s="5"/>
      <c r="P185" s="5"/>
      <c r="Q185" s="5"/>
    </row>
    <row r="186" spans="1:17">
      <c r="A186" s="14"/>
      <c r="B186" s="26"/>
      <c r="C186" s="5"/>
      <c r="D186" s="5"/>
      <c r="E186" s="4"/>
      <c r="F186" s="4"/>
      <c r="G186" s="4"/>
      <c r="H186" s="4"/>
      <c r="I186" s="4"/>
      <c r="J186" s="4"/>
      <c r="K186" s="5"/>
      <c r="L186" s="5"/>
      <c r="M186" s="5"/>
      <c r="N186" s="4"/>
      <c r="O186" s="5"/>
      <c r="P186" s="5"/>
      <c r="Q186" s="5"/>
    </row>
    <row r="187" spans="1:17">
      <c r="A187" s="14"/>
      <c r="B187" s="26"/>
      <c r="C187" s="5"/>
      <c r="D187" s="5"/>
      <c r="E187" s="4"/>
      <c r="F187" s="4"/>
      <c r="G187" s="4"/>
      <c r="H187" s="4"/>
      <c r="I187" s="4"/>
      <c r="J187" s="4"/>
      <c r="K187" s="5"/>
      <c r="L187" s="5"/>
      <c r="M187" s="5"/>
      <c r="N187" s="4"/>
      <c r="O187" s="5"/>
      <c r="P187" s="5"/>
      <c r="Q187" s="5"/>
    </row>
    <row r="188" spans="1:17">
      <c r="A188" s="14"/>
      <c r="B188" s="26"/>
      <c r="C188" s="5"/>
      <c r="D188" s="5"/>
      <c r="E188" s="4"/>
      <c r="F188" s="4"/>
      <c r="G188" s="4"/>
      <c r="H188" s="4"/>
      <c r="I188" s="4"/>
      <c r="J188" s="4"/>
      <c r="K188" s="5"/>
      <c r="L188" s="5"/>
      <c r="M188" s="5"/>
      <c r="N188" s="4"/>
      <c r="O188" s="5"/>
      <c r="P188" s="5"/>
      <c r="Q188" s="5"/>
    </row>
    <row r="189" spans="1:17" ht="14.5" thickBot="1">
      <c r="A189" s="14"/>
      <c r="B189" s="26"/>
      <c r="C189" s="5"/>
      <c r="D189" s="5"/>
      <c r="E189" s="4"/>
      <c r="F189" s="4"/>
      <c r="G189" s="4"/>
      <c r="H189" s="4"/>
      <c r="I189" s="4"/>
      <c r="J189" s="4"/>
      <c r="K189" s="5"/>
      <c r="L189" s="5"/>
      <c r="M189" s="5"/>
      <c r="N189" s="4"/>
      <c r="O189" s="5"/>
      <c r="P189" s="5"/>
      <c r="Q189" s="5"/>
    </row>
    <row r="190" spans="1:17">
      <c r="A190" s="12"/>
      <c r="B190" s="25"/>
      <c r="C190" s="3"/>
      <c r="D190" s="3"/>
      <c r="E190" s="2"/>
      <c r="F190" s="2"/>
      <c r="G190" s="2"/>
      <c r="H190" s="2"/>
      <c r="I190" s="2"/>
      <c r="J190" s="2"/>
      <c r="K190" s="3"/>
      <c r="L190" s="3"/>
      <c r="M190" s="3"/>
      <c r="N190" s="2"/>
      <c r="O190" s="3"/>
      <c r="P190" s="3"/>
      <c r="Q190" s="3"/>
    </row>
    <row r="191" spans="1:17">
      <c r="A191" s="14"/>
      <c r="B191" s="26"/>
      <c r="C191" s="5"/>
      <c r="D191" s="5"/>
      <c r="E191" s="4"/>
      <c r="F191" s="4"/>
      <c r="G191" s="4"/>
      <c r="H191" s="4"/>
      <c r="I191" s="4"/>
      <c r="J191" s="4"/>
      <c r="K191" s="5"/>
      <c r="L191" s="5"/>
      <c r="M191" s="5"/>
      <c r="N191" s="4"/>
      <c r="O191" s="5"/>
      <c r="P191" s="5"/>
      <c r="Q191" s="5"/>
    </row>
    <row r="192" spans="1:17">
      <c r="A192" s="14"/>
      <c r="B192" s="26"/>
      <c r="C192" s="5"/>
      <c r="D192" s="5"/>
      <c r="E192" s="4"/>
      <c r="F192" s="4"/>
      <c r="G192" s="4"/>
      <c r="H192" s="4"/>
      <c r="I192" s="4"/>
      <c r="J192" s="4"/>
      <c r="K192" s="5"/>
      <c r="L192" s="5"/>
      <c r="M192" s="5"/>
      <c r="N192" s="4"/>
      <c r="O192" s="5"/>
      <c r="P192" s="5"/>
      <c r="Q192" s="5"/>
    </row>
    <row r="193" spans="1:17" ht="14.5" thickBot="1">
      <c r="A193" s="14"/>
      <c r="B193" s="26"/>
      <c r="C193" s="5"/>
      <c r="D193" s="5"/>
      <c r="E193" s="4"/>
      <c r="F193" s="4"/>
      <c r="G193" s="4"/>
      <c r="H193" s="4"/>
      <c r="I193" s="4"/>
      <c r="J193" s="4"/>
      <c r="K193" s="5"/>
      <c r="L193" s="5"/>
      <c r="M193" s="5"/>
      <c r="N193" s="4"/>
      <c r="O193" s="5"/>
      <c r="P193" s="5"/>
      <c r="Q193" s="5"/>
    </row>
    <row r="194" spans="1:17">
      <c r="A194" s="12"/>
      <c r="B194" s="25"/>
      <c r="C194" s="3"/>
      <c r="D194" s="3"/>
      <c r="E194" s="2"/>
      <c r="F194" s="2"/>
      <c r="G194" s="2"/>
      <c r="H194" s="2"/>
      <c r="I194" s="2"/>
      <c r="J194" s="2"/>
      <c r="K194" s="3"/>
      <c r="L194" s="3"/>
      <c r="M194" s="3"/>
      <c r="N194" s="2"/>
      <c r="O194" s="3"/>
      <c r="P194" s="3"/>
      <c r="Q194" s="3"/>
    </row>
    <row r="195" spans="1:17">
      <c r="A195" s="14"/>
      <c r="B195" s="26"/>
      <c r="C195" s="5"/>
      <c r="D195" s="5"/>
      <c r="E195" s="4"/>
      <c r="F195" s="4"/>
      <c r="G195" s="4"/>
      <c r="H195" s="4"/>
      <c r="I195" s="4"/>
      <c r="J195" s="4"/>
      <c r="K195" s="5"/>
      <c r="L195" s="5"/>
      <c r="M195" s="5"/>
      <c r="N195" s="4"/>
      <c r="O195" s="5"/>
      <c r="P195" s="5"/>
      <c r="Q195" s="5"/>
    </row>
    <row r="196" spans="1:17">
      <c r="A196" s="14"/>
      <c r="B196" s="26"/>
      <c r="C196" s="5"/>
      <c r="D196" s="5"/>
      <c r="E196" s="4"/>
      <c r="F196" s="4"/>
      <c r="G196" s="4"/>
      <c r="H196" s="4"/>
      <c r="I196" s="4"/>
      <c r="J196" s="4"/>
      <c r="K196" s="5"/>
      <c r="L196" s="5"/>
      <c r="M196" s="5"/>
      <c r="N196" s="4"/>
      <c r="O196" s="5"/>
      <c r="P196" s="5"/>
      <c r="Q196" s="5"/>
    </row>
    <row r="197" spans="1:17">
      <c r="A197" s="14"/>
      <c r="B197" s="26"/>
      <c r="C197" s="5"/>
      <c r="D197" s="5"/>
      <c r="E197" s="4"/>
      <c r="F197" s="4"/>
      <c r="G197" s="4"/>
      <c r="H197" s="4"/>
      <c r="I197" s="4"/>
      <c r="J197" s="4"/>
      <c r="K197" s="5"/>
      <c r="L197" s="5"/>
      <c r="M197" s="5"/>
      <c r="N197" s="4"/>
      <c r="O197" s="5"/>
      <c r="P197" s="5"/>
      <c r="Q197" s="5"/>
    </row>
    <row r="198" spans="1:17">
      <c r="A198" s="14"/>
      <c r="B198" s="26"/>
      <c r="C198" s="5"/>
      <c r="D198" s="5"/>
      <c r="E198" s="4"/>
      <c r="F198" s="4"/>
      <c r="G198" s="4"/>
      <c r="H198" s="4"/>
      <c r="I198" s="4"/>
      <c r="J198" s="4"/>
      <c r="K198" s="5"/>
      <c r="L198" s="5"/>
      <c r="M198" s="5"/>
      <c r="N198" s="4"/>
      <c r="O198" s="5"/>
      <c r="P198" s="5"/>
      <c r="Q198" s="5"/>
    </row>
    <row r="199" spans="1:17" ht="14.5" thickBot="1">
      <c r="A199" s="14"/>
      <c r="B199" s="26"/>
      <c r="C199" s="5"/>
      <c r="D199" s="5"/>
      <c r="E199" s="4"/>
      <c r="F199" s="4"/>
      <c r="G199" s="4"/>
      <c r="H199" s="4"/>
      <c r="I199" s="4"/>
      <c r="J199" s="4"/>
      <c r="K199" s="5"/>
      <c r="L199" s="5"/>
      <c r="M199" s="5"/>
      <c r="N199" s="4"/>
      <c r="O199" s="5"/>
      <c r="P199" s="5"/>
      <c r="Q199" s="5"/>
    </row>
    <row r="200" spans="1:17">
      <c r="A200" s="12"/>
      <c r="B200" s="25"/>
      <c r="C200" s="3"/>
      <c r="D200" s="3"/>
      <c r="E200" s="2"/>
      <c r="F200" s="2"/>
      <c r="G200" s="2"/>
      <c r="H200" s="2"/>
      <c r="I200" s="2"/>
      <c r="J200" s="2"/>
      <c r="K200" s="3"/>
      <c r="L200" s="3"/>
      <c r="M200" s="3"/>
      <c r="N200" s="2"/>
      <c r="O200" s="3"/>
      <c r="P200" s="3"/>
      <c r="Q200" s="3"/>
    </row>
    <row r="201" spans="1:17">
      <c r="A201" s="14"/>
      <c r="B201" s="26"/>
      <c r="C201" s="5"/>
      <c r="D201" s="5"/>
      <c r="E201" s="4"/>
      <c r="F201" s="4"/>
      <c r="G201" s="4"/>
      <c r="H201" s="4"/>
      <c r="I201" s="4"/>
      <c r="J201" s="4"/>
      <c r="K201" s="5"/>
      <c r="L201" s="5"/>
      <c r="M201" s="5"/>
      <c r="N201" s="4"/>
      <c r="O201" s="5"/>
      <c r="P201" s="5"/>
      <c r="Q201" s="5"/>
    </row>
    <row r="202" spans="1:17">
      <c r="A202" s="14"/>
      <c r="B202" s="26"/>
      <c r="C202" s="5"/>
      <c r="D202" s="5"/>
      <c r="E202" s="4"/>
      <c r="F202" s="4"/>
      <c r="G202" s="4"/>
      <c r="H202" s="4"/>
      <c r="I202" s="4"/>
      <c r="J202" s="4"/>
      <c r="K202" s="5"/>
      <c r="L202" s="5"/>
      <c r="M202" s="5"/>
      <c r="N202" s="4"/>
      <c r="O202" s="5"/>
      <c r="P202" s="5"/>
      <c r="Q202" s="5"/>
    </row>
    <row r="203" spans="1:17">
      <c r="A203" s="14"/>
      <c r="B203" s="26"/>
      <c r="C203" s="5"/>
      <c r="D203" s="5"/>
      <c r="E203" s="4"/>
      <c r="F203" s="4"/>
      <c r="G203" s="4"/>
      <c r="H203" s="4"/>
      <c r="I203" s="4"/>
      <c r="J203" s="4"/>
      <c r="K203" s="5"/>
      <c r="L203" s="5"/>
      <c r="M203" s="5"/>
      <c r="N203" s="4"/>
      <c r="O203" s="5"/>
      <c r="P203" s="5"/>
      <c r="Q203" s="5"/>
    </row>
    <row r="204" spans="1:17">
      <c r="A204" s="14"/>
      <c r="B204" s="26"/>
      <c r="C204" s="5"/>
      <c r="D204" s="5"/>
      <c r="E204" s="4"/>
      <c r="F204" s="4"/>
      <c r="G204" s="4"/>
      <c r="H204" s="4"/>
      <c r="I204" s="4"/>
      <c r="J204" s="4"/>
      <c r="K204" s="5"/>
      <c r="L204" s="5"/>
      <c r="M204" s="5"/>
      <c r="N204" s="4"/>
      <c r="O204" s="5"/>
      <c r="P204" s="5"/>
      <c r="Q204" s="5"/>
    </row>
    <row r="205" spans="1:17">
      <c r="A205" s="14"/>
      <c r="B205" s="26"/>
      <c r="C205" s="5"/>
      <c r="D205" s="5"/>
      <c r="E205" s="4"/>
      <c r="F205" s="4"/>
      <c r="G205" s="4"/>
      <c r="H205" s="4"/>
      <c r="I205" s="4"/>
      <c r="J205" s="4"/>
      <c r="K205" s="5"/>
      <c r="L205" s="5"/>
      <c r="M205" s="5"/>
      <c r="N205" s="4"/>
      <c r="O205" s="5"/>
      <c r="P205" s="5"/>
      <c r="Q205" s="5"/>
    </row>
    <row r="206" spans="1:17">
      <c r="A206" s="14"/>
      <c r="B206" s="26"/>
      <c r="C206" s="5"/>
      <c r="D206" s="5"/>
      <c r="E206" s="4"/>
      <c r="F206" s="4"/>
      <c r="G206" s="4"/>
      <c r="H206" s="4"/>
      <c r="I206" s="4"/>
      <c r="J206" s="4"/>
      <c r="K206" s="5"/>
      <c r="L206" s="5"/>
      <c r="M206" s="5"/>
      <c r="N206" s="4"/>
      <c r="O206" s="5"/>
      <c r="P206" s="5"/>
      <c r="Q206" s="5"/>
    </row>
    <row r="207" spans="1:17">
      <c r="A207" s="14"/>
      <c r="B207" s="26"/>
      <c r="C207" s="5"/>
      <c r="D207" s="5"/>
      <c r="E207" s="4"/>
      <c r="F207" s="4"/>
      <c r="G207" s="4"/>
      <c r="H207" s="4"/>
      <c r="I207" s="4"/>
      <c r="J207" s="4"/>
      <c r="K207" s="5"/>
      <c r="L207" s="5"/>
      <c r="M207" s="5"/>
      <c r="N207" s="4"/>
      <c r="O207" s="5"/>
      <c r="P207" s="5"/>
      <c r="Q207" s="5"/>
    </row>
    <row r="208" spans="1:17">
      <c r="A208" s="14"/>
      <c r="B208" s="26"/>
      <c r="C208" s="5"/>
      <c r="D208" s="5"/>
      <c r="E208" s="4"/>
      <c r="F208" s="4"/>
      <c r="G208" s="4"/>
      <c r="H208" s="4"/>
      <c r="I208" s="4"/>
      <c r="J208" s="4"/>
      <c r="K208" s="5"/>
      <c r="L208" s="5"/>
      <c r="M208" s="5"/>
      <c r="N208" s="4"/>
      <c r="O208" s="5"/>
      <c r="P208" s="5"/>
      <c r="Q208" s="5"/>
    </row>
    <row r="209" spans="1:17" ht="14.5" thickBot="1">
      <c r="A209" s="14"/>
      <c r="B209" s="26"/>
      <c r="C209" s="5"/>
      <c r="D209" s="5"/>
      <c r="E209" s="4"/>
      <c r="F209" s="4"/>
      <c r="G209" s="4"/>
      <c r="H209" s="4"/>
      <c r="I209" s="4"/>
      <c r="J209" s="4"/>
      <c r="K209" s="5"/>
      <c r="L209" s="5"/>
      <c r="M209" s="5"/>
      <c r="N209" s="4"/>
      <c r="O209" s="5"/>
      <c r="P209" s="5"/>
      <c r="Q209" s="5"/>
    </row>
    <row r="210" spans="1:17">
      <c r="A210" s="12"/>
      <c r="B210" s="25"/>
      <c r="C210" s="3"/>
      <c r="D210" s="3"/>
      <c r="E210" s="2"/>
      <c r="F210" s="2"/>
      <c r="G210" s="2"/>
      <c r="H210" s="2"/>
      <c r="I210" s="2"/>
      <c r="J210" s="2"/>
      <c r="K210" s="3"/>
      <c r="L210" s="3"/>
      <c r="M210" s="3"/>
      <c r="N210" s="2"/>
      <c r="O210" s="3"/>
      <c r="P210" s="3"/>
      <c r="Q210" s="3"/>
    </row>
    <row r="211" spans="1:17">
      <c r="A211" s="14"/>
      <c r="B211" s="26"/>
      <c r="C211" s="5"/>
      <c r="D211" s="5"/>
      <c r="E211" s="4"/>
      <c r="F211" s="4"/>
      <c r="G211" s="4"/>
      <c r="H211" s="4"/>
      <c r="I211" s="4"/>
      <c r="J211" s="4"/>
      <c r="K211" s="5"/>
      <c r="L211" s="5"/>
      <c r="M211" s="5"/>
      <c r="N211" s="4"/>
      <c r="O211" s="5"/>
      <c r="P211" s="5"/>
      <c r="Q211" s="5"/>
    </row>
    <row r="212" spans="1:17">
      <c r="A212" s="14"/>
      <c r="B212" s="26"/>
      <c r="C212" s="5"/>
      <c r="D212" s="5"/>
      <c r="E212" s="4"/>
      <c r="F212" s="4"/>
      <c r="G212" s="4"/>
      <c r="H212" s="4"/>
      <c r="I212" s="4"/>
      <c r="J212" s="4"/>
      <c r="K212" s="5"/>
      <c r="L212" s="5"/>
      <c r="M212" s="5"/>
      <c r="N212" s="4"/>
      <c r="O212" s="5"/>
      <c r="P212" s="5"/>
      <c r="Q212" s="5"/>
    </row>
    <row r="213" spans="1:17" ht="14.5" thickBot="1">
      <c r="A213" s="14"/>
      <c r="B213" s="26"/>
      <c r="C213" s="5"/>
      <c r="D213" s="5"/>
      <c r="E213" s="4"/>
      <c r="F213" s="4"/>
      <c r="G213" s="4"/>
      <c r="H213" s="4"/>
      <c r="I213" s="4"/>
      <c r="J213" s="4"/>
      <c r="K213" s="5"/>
      <c r="L213" s="5"/>
      <c r="M213" s="5"/>
      <c r="N213" s="4"/>
      <c r="O213" s="5"/>
      <c r="P213" s="5"/>
      <c r="Q213" s="5"/>
    </row>
    <row r="214" spans="1:17">
      <c r="A214" s="12"/>
      <c r="B214" s="25"/>
      <c r="C214" s="3"/>
      <c r="D214" s="3"/>
      <c r="E214" s="2"/>
      <c r="F214" s="2"/>
      <c r="G214" s="2"/>
      <c r="H214" s="2"/>
      <c r="I214" s="2"/>
      <c r="J214" s="2"/>
      <c r="K214" s="3"/>
      <c r="L214" s="3"/>
      <c r="M214" s="3"/>
      <c r="N214" s="2"/>
      <c r="O214" s="3"/>
      <c r="P214" s="3"/>
      <c r="Q214" s="3"/>
    </row>
    <row r="215" spans="1:17">
      <c r="A215" s="14"/>
      <c r="B215" s="26"/>
      <c r="C215" s="5"/>
      <c r="D215" s="5"/>
      <c r="E215" s="4"/>
      <c r="F215" s="4"/>
      <c r="G215" s="4"/>
      <c r="H215" s="4"/>
      <c r="I215" s="4"/>
      <c r="J215" s="4"/>
      <c r="K215" s="5"/>
      <c r="L215" s="5"/>
      <c r="M215" s="5"/>
      <c r="N215" s="4"/>
      <c r="O215" s="5"/>
      <c r="P215" s="5"/>
      <c r="Q215" s="5"/>
    </row>
    <row r="216" spans="1:17">
      <c r="A216" s="14"/>
      <c r="B216" s="26"/>
      <c r="C216" s="5"/>
      <c r="D216" s="5"/>
      <c r="E216" s="4"/>
      <c r="F216" s="4"/>
      <c r="G216" s="4"/>
      <c r="H216" s="4"/>
      <c r="I216" s="4"/>
      <c r="J216" s="4"/>
      <c r="K216" s="5"/>
      <c r="L216" s="5"/>
      <c r="M216" s="5"/>
      <c r="N216" s="4"/>
      <c r="O216" s="5"/>
      <c r="P216" s="5"/>
      <c r="Q216" s="5"/>
    </row>
    <row r="217" spans="1:17">
      <c r="A217" s="14"/>
      <c r="B217" s="26"/>
      <c r="C217" s="5"/>
      <c r="D217" s="5"/>
      <c r="E217" s="4"/>
      <c r="F217" s="4"/>
      <c r="G217" s="4"/>
      <c r="H217" s="4"/>
      <c r="I217" s="4"/>
      <c r="J217" s="4"/>
      <c r="K217" s="5"/>
      <c r="L217" s="5"/>
      <c r="M217" s="5"/>
      <c r="N217" s="4"/>
      <c r="O217" s="5"/>
      <c r="P217" s="5"/>
      <c r="Q217" s="5"/>
    </row>
    <row r="218" spans="1:17">
      <c r="A218" s="14"/>
      <c r="B218" s="26"/>
      <c r="C218" s="5"/>
      <c r="D218" s="5"/>
      <c r="E218" s="4"/>
      <c r="F218" s="4"/>
      <c r="G218" s="4"/>
      <c r="H218" s="4"/>
      <c r="I218" s="4"/>
      <c r="J218" s="4"/>
      <c r="K218" s="5"/>
      <c r="L218" s="5"/>
      <c r="M218" s="5"/>
      <c r="N218" s="4"/>
      <c r="O218" s="5"/>
      <c r="P218" s="5"/>
      <c r="Q218" s="5"/>
    </row>
    <row r="219" spans="1:17" ht="14.5" thickBot="1">
      <c r="A219" s="14"/>
      <c r="B219" s="26"/>
      <c r="C219" s="5"/>
      <c r="D219" s="5"/>
      <c r="E219" s="4"/>
      <c r="F219" s="4"/>
      <c r="G219" s="4"/>
      <c r="H219" s="4"/>
      <c r="I219" s="4"/>
      <c r="J219" s="4"/>
      <c r="K219" s="5"/>
      <c r="L219" s="5"/>
      <c r="M219" s="5"/>
      <c r="N219" s="4"/>
      <c r="O219" s="5"/>
      <c r="P219" s="5"/>
      <c r="Q219" s="5"/>
    </row>
    <row r="220" spans="1:17">
      <c r="A220" s="12"/>
      <c r="B220" s="25"/>
      <c r="C220" s="3"/>
      <c r="D220" s="3"/>
      <c r="E220" s="2"/>
      <c r="F220" s="2"/>
      <c r="G220" s="2"/>
      <c r="H220" s="2"/>
      <c r="I220" s="2"/>
      <c r="J220" s="2"/>
      <c r="K220" s="3"/>
      <c r="L220" s="3"/>
      <c r="M220" s="3"/>
      <c r="N220" s="2"/>
      <c r="O220" s="3"/>
      <c r="P220" s="3"/>
      <c r="Q220" s="3"/>
    </row>
    <row r="221" spans="1:17">
      <c r="A221" s="14"/>
      <c r="B221" s="26"/>
      <c r="C221" s="5"/>
      <c r="D221" s="5"/>
      <c r="E221" s="4"/>
      <c r="F221" s="4"/>
      <c r="G221" s="4"/>
      <c r="H221" s="4"/>
      <c r="I221" s="4"/>
      <c r="J221" s="4"/>
      <c r="K221" s="5"/>
      <c r="L221" s="5"/>
      <c r="M221" s="5"/>
      <c r="N221" s="4"/>
      <c r="O221" s="5"/>
      <c r="P221" s="5"/>
      <c r="Q221" s="5"/>
    </row>
    <row r="222" spans="1:17">
      <c r="A222" s="14"/>
      <c r="B222" s="26"/>
      <c r="C222" s="5"/>
      <c r="D222" s="5"/>
      <c r="E222" s="4"/>
      <c r="F222" s="4"/>
      <c r="G222" s="4"/>
      <c r="H222" s="4"/>
      <c r="I222" s="4"/>
      <c r="J222" s="4"/>
      <c r="K222" s="5"/>
      <c r="L222" s="5"/>
      <c r="M222" s="5"/>
      <c r="N222" s="4"/>
      <c r="O222" s="5"/>
      <c r="P222" s="5"/>
      <c r="Q222" s="5"/>
    </row>
    <row r="223" spans="1:17">
      <c r="A223" s="14"/>
      <c r="B223" s="26"/>
      <c r="C223" s="5"/>
      <c r="D223" s="5"/>
      <c r="E223" s="4"/>
      <c r="F223" s="4"/>
      <c r="G223" s="4"/>
      <c r="H223" s="4"/>
      <c r="I223" s="4"/>
      <c r="J223" s="4"/>
      <c r="K223" s="5"/>
      <c r="L223" s="5"/>
      <c r="M223" s="5"/>
      <c r="N223" s="4"/>
      <c r="O223" s="5"/>
      <c r="P223" s="5"/>
      <c r="Q223" s="5"/>
    </row>
    <row r="224" spans="1:17">
      <c r="A224" s="14"/>
      <c r="B224" s="26"/>
      <c r="C224" s="5"/>
      <c r="D224" s="5"/>
      <c r="E224" s="4"/>
      <c r="F224" s="4"/>
      <c r="G224" s="4"/>
      <c r="H224" s="4"/>
      <c r="I224" s="4"/>
      <c r="J224" s="4"/>
      <c r="K224" s="5"/>
      <c r="L224" s="5"/>
      <c r="M224" s="5"/>
      <c r="N224" s="4"/>
      <c r="O224" s="5"/>
      <c r="P224" s="5"/>
      <c r="Q224" s="5"/>
    </row>
    <row r="225" spans="1:17">
      <c r="A225" s="14"/>
      <c r="B225" s="26"/>
      <c r="C225" s="5"/>
      <c r="D225" s="5"/>
      <c r="E225" s="4"/>
      <c r="F225" s="4"/>
      <c r="G225" s="4"/>
      <c r="H225" s="4"/>
      <c r="I225" s="4"/>
      <c r="J225" s="4"/>
      <c r="K225" s="5"/>
      <c r="L225" s="5"/>
      <c r="M225" s="5"/>
      <c r="N225" s="4"/>
      <c r="O225" s="5"/>
      <c r="P225" s="5"/>
      <c r="Q225" s="5"/>
    </row>
    <row r="226" spans="1:17">
      <c r="A226" s="14"/>
      <c r="B226" s="26"/>
      <c r="C226" s="5"/>
      <c r="D226" s="5"/>
      <c r="E226" s="4"/>
      <c r="F226" s="4"/>
      <c r="G226" s="4"/>
      <c r="H226" s="4"/>
      <c r="I226" s="4"/>
      <c r="J226" s="4"/>
      <c r="K226" s="5"/>
      <c r="L226" s="5"/>
      <c r="M226" s="5"/>
      <c r="N226" s="4"/>
      <c r="O226" s="5"/>
      <c r="P226" s="5"/>
      <c r="Q226" s="5"/>
    </row>
    <row r="227" spans="1:17">
      <c r="A227" s="14"/>
      <c r="B227" s="26"/>
      <c r="C227" s="5"/>
      <c r="D227" s="5"/>
      <c r="E227" s="4"/>
      <c r="F227" s="4"/>
      <c r="G227" s="4"/>
      <c r="H227" s="4"/>
      <c r="I227" s="4"/>
      <c r="J227" s="4"/>
      <c r="K227" s="5"/>
      <c r="L227" s="5"/>
      <c r="M227" s="5"/>
      <c r="N227" s="4"/>
      <c r="O227" s="5"/>
      <c r="P227" s="5"/>
      <c r="Q227" s="5"/>
    </row>
    <row r="228" spans="1:17">
      <c r="A228" s="14"/>
      <c r="B228" s="26"/>
      <c r="C228" s="5"/>
      <c r="D228" s="5"/>
      <c r="E228" s="4"/>
      <c r="F228" s="4"/>
      <c r="G228" s="4"/>
      <c r="H228" s="4"/>
      <c r="I228" s="4"/>
      <c r="J228" s="4"/>
      <c r="K228" s="5"/>
      <c r="L228" s="5"/>
      <c r="M228" s="5"/>
      <c r="N228" s="4"/>
      <c r="O228" s="5"/>
      <c r="P228" s="5"/>
      <c r="Q228" s="5"/>
    </row>
    <row r="229" spans="1:17" ht="14.5" thickBot="1">
      <c r="A229" s="14"/>
      <c r="B229" s="26"/>
      <c r="C229" s="5"/>
      <c r="D229" s="5"/>
      <c r="E229" s="4"/>
      <c r="F229" s="4"/>
      <c r="G229" s="4"/>
      <c r="H229" s="4"/>
      <c r="I229" s="4"/>
      <c r="J229" s="4"/>
      <c r="K229" s="5"/>
      <c r="L229" s="5"/>
      <c r="M229" s="5"/>
      <c r="N229" s="4"/>
      <c r="O229" s="5"/>
      <c r="P229" s="5"/>
      <c r="Q229" s="5"/>
    </row>
    <row r="230" spans="1:17" ht="14.5" thickBot="1">
      <c r="A230" s="12"/>
      <c r="B230" s="25"/>
      <c r="C230" s="3"/>
      <c r="D230" s="3"/>
      <c r="E230" s="2"/>
      <c r="F230" s="2"/>
      <c r="G230" s="2"/>
      <c r="H230" s="2"/>
      <c r="I230" s="2"/>
      <c r="J230" s="2"/>
      <c r="K230" s="3"/>
      <c r="L230" s="3"/>
      <c r="M230" s="3"/>
      <c r="N230" s="2"/>
      <c r="O230" s="3"/>
      <c r="P230" s="3"/>
      <c r="Q230" s="3"/>
    </row>
    <row r="231" spans="1:17">
      <c r="A231" s="12"/>
      <c r="B231" s="25"/>
      <c r="C231" s="3"/>
      <c r="D231" s="3"/>
      <c r="E231" s="2"/>
      <c r="F231" s="2"/>
      <c r="G231" s="2"/>
      <c r="H231" s="2"/>
      <c r="I231" s="2"/>
      <c r="J231" s="2"/>
      <c r="K231" s="3"/>
      <c r="L231" s="3"/>
      <c r="M231" s="3"/>
      <c r="N231" s="2"/>
      <c r="O231" s="3"/>
      <c r="P231" s="3"/>
      <c r="Q231" s="3"/>
    </row>
    <row r="232" spans="1:17">
      <c r="A232" s="14"/>
      <c r="B232" s="26"/>
      <c r="C232" s="5"/>
      <c r="D232" s="5"/>
      <c r="E232" s="4"/>
      <c r="F232" s="4"/>
      <c r="G232" s="4"/>
      <c r="H232" s="4"/>
      <c r="I232" s="4"/>
      <c r="J232" s="4"/>
      <c r="K232" s="5"/>
      <c r="L232" s="5"/>
      <c r="M232" s="5"/>
      <c r="N232" s="4"/>
      <c r="O232" s="5"/>
      <c r="P232" s="5"/>
      <c r="Q232" s="5"/>
    </row>
    <row r="233" spans="1:17">
      <c r="A233" s="14"/>
      <c r="B233" s="26"/>
      <c r="C233" s="5"/>
      <c r="D233" s="5"/>
      <c r="E233" s="4"/>
      <c r="F233" s="4"/>
      <c r="G233" s="4"/>
      <c r="H233" s="4"/>
      <c r="I233" s="4"/>
      <c r="J233" s="4"/>
      <c r="K233" s="5"/>
      <c r="L233" s="5"/>
      <c r="M233" s="5"/>
      <c r="N233" s="4"/>
      <c r="O233" s="5"/>
      <c r="P233" s="5"/>
      <c r="Q233" s="5"/>
    </row>
    <row r="234" spans="1:17">
      <c r="A234" s="14"/>
      <c r="B234" s="26"/>
      <c r="C234" s="5"/>
      <c r="D234" s="5"/>
      <c r="E234" s="4"/>
      <c r="F234" s="4"/>
      <c r="G234" s="4"/>
      <c r="H234" s="4"/>
      <c r="I234" s="4"/>
      <c r="J234" s="4"/>
      <c r="K234" s="5"/>
      <c r="L234" s="5"/>
      <c r="M234" s="5"/>
      <c r="N234" s="4"/>
      <c r="O234" s="5"/>
      <c r="P234" s="5"/>
      <c r="Q234" s="5"/>
    </row>
    <row r="235" spans="1:17">
      <c r="A235" s="14"/>
      <c r="B235" s="26"/>
      <c r="C235" s="5"/>
      <c r="D235" s="5"/>
      <c r="E235" s="4"/>
      <c r="F235" s="4"/>
      <c r="G235" s="4"/>
      <c r="H235" s="4"/>
      <c r="I235" s="4"/>
      <c r="J235" s="4"/>
      <c r="K235" s="5"/>
      <c r="L235" s="5"/>
      <c r="M235" s="5"/>
      <c r="N235" s="4"/>
      <c r="O235" s="5"/>
      <c r="P235" s="5"/>
      <c r="Q235" s="5"/>
    </row>
    <row r="236" spans="1:17">
      <c r="A236" s="14"/>
      <c r="B236" s="26"/>
      <c r="C236" s="5"/>
      <c r="D236" s="5"/>
      <c r="E236" s="4"/>
      <c r="F236" s="4"/>
      <c r="G236" s="4"/>
      <c r="H236" s="4"/>
      <c r="I236" s="4"/>
      <c r="J236" s="4"/>
      <c r="K236" s="5"/>
      <c r="L236" s="5"/>
      <c r="M236" s="5"/>
      <c r="N236" s="4"/>
      <c r="O236" s="5"/>
      <c r="P236" s="5"/>
      <c r="Q236" s="5"/>
    </row>
    <row r="237" spans="1:17">
      <c r="A237" s="14"/>
      <c r="B237" s="26"/>
      <c r="C237" s="5"/>
      <c r="D237" s="5"/>
      <c r="E237" s="4"/>
      <c r="F237" s="4"/>
      <c r="G237" s="4"/>
      <c r="H237" s="4"/>
      <c r="I237" s="4"/>
      <c r="J237" s="4"/>
      <c r="K237" s="5"/>
      <c r="L237" s="5"/>
      <c r="M237" s="5"/>
      <c r="N237" s="4"/>
      <c r="O237" s="5"/>
      <c r="P237" s="5"/>
      <c r="Q237" s="5"/>
    </row>
    <row r="238" spans="1:17">
      <c r="A238" s="14"/>
      <c r="B238" s="26"/>
      <c r="C238" s="5"/>
      <c r="D238" s="5"/>
      <c r="E238" s="4"/>
      <c r="F238" s="4"/>
      <c r="G238" s="4"/>
      <c r="H238" s="4"/>
      <c r="I238" s="4"/>
      <c r="J238" s="4"/>
      <c r="K238" s="5"/>
      <c r="L238" s="5"/>
      <c r="M238" s="5"/>
      <c r="N238" s="4"/>
      <c r="O238" s="5"/>
      <c r="P238" s="5"/>
      <c r="Q238" s="5"/>
    </row>
    <row r="239" spans="1:17" ht="14.5" thickBot="1">
      <c r="A239" s="14"/>
      <c r="B239" s="26"/>
      <c r="C239" s="5"/>
      <c r="D239" s="5"/>
      <c r="E239" s="4"/>
      <c r="F239" s="4"/>
      <c r="G239" s="4"/>
      <c r="H239" s="4"/>
      <c r="I239" s="4"/>
      <c r="J239" s="4"/>
      <c r="K239" s="5"/>
      <c r="L239" s="5"/>
      <c r="M239" s="5"/>
      <c r="N239" s="4"/>
      <c r="O239" s="5"/>
      <c r="P239" s="5"/>
      <c r="Q239" s="5"/>
    </row>
    <row r="240" spans="1:17">
      <c r="A240" s="12"/>
      <c r="B240" s="25"/>
      <c r="C240" s="3"/>
      <c r="D240" s="3"/>
      <c r="E240" s="2"/>
      <c r="F240" s="2"/>
      <c r="G240" s="2"/>
      <c r="H240" s="2"/>
      <c r="I240" s="2"/>
      <c r="J240" s="2"/>
      <c r="K240" s="3"/>
      <c r="L240" s="3"/>
      <c r="M240" s="3"/>
      <c r="N240" s="2"/>
      <c r="O240" s="3"/>
      <c r="P240" s="3"/>
      <c r="Q240" s="3"/>
    </row>
    <row r="241" spans="1:17">
      <c r="A241" s="14"/>
      <c r="B241" s="26"/>
      <c r="C241" s="5"/>
      <c r="D241" s="5"/>
      <c r="E241" s="4"/>
      <c r="F241" s="4"/>
      <c r="G241" s="4"/>
      <c r="H241" s="4"/>
      <c r="I241" s="4"/>
      <c r="J241" s="4"/>
      <c r="K241" s="5"/>
      <c r="L241" s="5"/>
      <c r="M241" s="5"/>
      <c r="N241" s="4"/>
      <c r="O241" s="5"/>
      <c r="P241" s="5"/>
      <c r="Q241" s="5"/>
    </row>
    <row r="242" spans="1:17">
      <c r="A242" s="14"/>
      <c r="B242" s="26"/>
      <c r="C242" s="5"/>
      <c r="D242" s="5"/>
      <c r="E242" s="4"/>
      <c r="F242" s="4"/>
      <c r="G242" s="4"/>
      <c r="H242" s="4"/>
      <c r="I242" s="4"/>
      <c r="J242" s="4"/>
      <c r="K242" s="5"/>
      <c r="L242" s="5"/>
      <c r="M242" s="5"/>
      <c r="N242" s="4"/>
      <c r="O242" s="5"/>
      <c r="P242" s="5"/>
      <c r="Q242" s="5"/>
    </row>
    <row r="243" spans="1:17" ht="14.5" thickBot="1">
      <c r="A243" s="14"/>
      <c r="B243" s="26"/>
      <c r="C243" s="5"/>
      <c r="D243" s="5"/>
      <c r="E243" s="4"/>
      <c r="F243" s="4"/>
      <c r="G243" s="4"/>
      <c r="H243" s="4"/>
      <c r="I243" s="4"/>
      <c r="J243" s="4"/>
      <c r="K243" s="5"/>
      <c r="L243" s="5"/>
      <c r="M243" s="5"/>
      <c r="N243" s="4"/>
      <c r="O243" s="5"/>
      <c r="P243" s="5"/>
      <c r="Q243" s="5"/>
    </row>
    <row r="244" spans="1:17">
      <c r="A244" s="12"/>
      <c r="B244" s="27"/>
      <c r="C244" s="3"/>
      <c r="D244" s="3"/>
      <c r="E244" s="2"/>
      <c r="F244" s="2"/>
      <c r="G244" s="2"/>
      <c r="H244" s="2"/>
      <c r="I244" s="2"/>
      <c r="J244" s="2"/>
      <c r="K244" s="3"/>
      <c r="L244" s="3"/>
      <c r="M244" s="3"/>
      <c r="N244" s="2"/>
      <c r="O244" s="3"/>
      <c r="P244" s="3"/>
      <c r="Q244" s="3"/>
    </row>
    <row r="245" spans="1:17">
      <c r="A245" s="14"/>
      <c r="B245" s="28"/>
      <c r="C245" s="5"/>
      <c r="D245" s="5"/>
      <c r="E245" s="4"/>
      <c r="F245" s="4"/>
      <c r="G245" s="4"/>
      <c r="H245" s="4"/>
      <c r="I245" s="4"/>
      <c r="J245" s="4"/>
      <c r="K245" s="5"/>
      <c r="L245" s="5"/>
      <c r="M245" s="5"/>
      <c r="N245" s="4"/>
      <c r="O245" s="5"/>
      <c r="P245" s="5"/>
      <c r="Q245" s="5"/>
    </row>
    <row r="246" spans="1:17">
      <c r="A246" s="14"/>
      <c r="B246" s="28"/>
      <c r="C246" s="5"/>
      <c r="D246" s="5"/>
      <c r="E246" s="4"/>
      <c r="F246" s="4"/>
      <c r="G246" s="4"/>
      <c r="H246" s="4"/>
      <c r="I246" s="4"/>
      <c r="J246" s="4"/>
      <c r="K246" s="5"/>
      <c r="L246" s="5"/>
      <c r="M246" s="5"/>
      <c r="N246" s="4"/>
      <c r="O246" s="5"/>
      <c r="P246" s="5"/>
      <c r="Q246" s="5"/>
    </row>
    <row r="247" spans="1:17">
      <c r="A247" s="14"/>
      <c r="B247" s="28"/>
      <c r="C247" s="5"/>
      <c r="D247" s="5"/>
      <c r="E247" s="4"/>
      <c r="F247" s="4"/>
      <c r="G247" s="4"/>
      <c r="H247" s="4"/>
      <c r="I247" s="4"/>
      <c r="J247" s="4"/>
      <c r="K247" s="5"/>
      <c r="L247" s="5"/>
      <c r="M247" s="5"/>
      <c r="N247" s="4"/>
      <c r="O247" s="5"/>
      <c r="P247" s="5"/>
      <c r="Q247" s="5"/>
    </row>
    <row r="248" spans="1:17">
      <c r="A248" s="14"/>
      <c r="B248" s="28"/>
      <c r="C248" s="5"/>
      <c r="D248" s="5"/>
      <c r="E248" s="4"/>
      <c r="F248" s="4"/>
      <c r="G248" s="4"/>
      <c r="H248" s="4"/>
      <c r="I248" s="4"/>
      <c r="J248" s="4"/>
      <c r="K248" s="5"/>
      <c r="L248" s="5"/>
      <c r="M248" s="5"/>
      <c r="N248" s="4"/>
      <c r="O248" s="5"/>
      <c r="P248" s="5"/>
      <c r="Q248" s="5"/>
    </row>
    <row r="249" spans="1:17" ht="14.5" thickBot="1">
      <c r="A249" s="14"/>
      <c r="B249" s="28"/>
      <c r="C249" s="5"/>
      <c r="D249" s="5"/>
      <c r="E249" s="4"/>
      <c r="F249" s="4"/>
      <c r="G249" s="4"/>
      <c r="H249" s="4"/>
      <c r="I249" s="4"/>
      <c r="J249" s="4"/>
      <c r="K249" s="5"/>
      <c r="L249" s="5"/>
      <c r="M249" s="5"/>
      <c r="N249" s="4"/>
      <c r="O249" s="5"/>
      <c r="P249" s="5"/>
      <c r="Q249" s="5"/>
    </row>
    <row r="250" spans="1:17">
      <c r="A250" s="12"/>
      <c r="B250" s="27"/>
      <c r="C250" s="3"/>
      <c r="D250" s="3"/>
      <c r="E250" s="2"/>
      <c r="F250" s="2"/>
      <c r="G250" s="2"/>
      <c r="H250" s="2"/>
      <c r="I250" s="2"/>
      <c r="J250" s="2"/>
      <c r="K250" s="3"/>
      <c r="L250" s="3"/>
      <c r="M250" s="3"/>
      <c r="N250" s="2"/>
      <c r="O250" s="3"/>
      <c r="P250" s="3"/>
      <c r="Q250" s="3"/>
    </row>
    <row r="251" spans="1:17">
      <c r="A251" s="14"/>
      <c r="B251" s="28"/>
      <c r="C251" s="5"/>
      <c r="D251" s="5"/>
      <c r="E251" s="4"/>
      <c r="F251" s="4"/>
      <c r="G251" s="4"/>
      <c r="H251" s="4"/>
      <c r="I251" s="4"/>
      <c r="J251" s="4"/>
      <c r="K251" s="5"/>
      <c r="L251" s="5"/>
      <c r="M251" s="5"/>
      <c r="N251" s="4"/>
      <c r="O251" s="5"/>
      <c r="P251" s="5"/>
      <c r="Q251" s="5"/>
    </row>
    <row r="252" spans="1:17">
      <c r="A252" s="14"/>
      <c r="B252" s="28"/>
      <c r="C252" s="5"/>
      <c r="D252" s="5"/>
      <c r="E252" s="4"/>
      <c r="F252" s="4"/>
      <c r="G252" s="4"/>
      <c r="H252" s="4"/>
      <c r="I252" s="4"/>
      <c r="J252" s="4"/>
      <c r="K252" s="5"/>
      <c r="L252" s="5"/>
      <c r="M252" s="5"/>
      <c r="N252" s="4"/>
      <c r="O252" s="5"/>
      <c r="P252" s="5"/>
      <c r="Q252" s="5"/>
    </row>
    <row r="253" spans="1:17">
      <c r="A253" s="14"/>
      <c r="B253" s="28"/>
      <c r="C253" s="5"/>
      <c r="D253" s="5"/>
      <c r="E253" s="4"/>
      <c r="F253" s="4"/>
      <c r="G253" s="4"/>
      <c r="H253" s="4"/>
      <c r="I253" s="4"/>
      <c r="J253" s="4"/>
      <c r="K253" s="5"/>
      <c r="L253" s="5"/>
      <c r="M253" s="5"/>
      <c r="N253" s="4"/>
      <c r="O253" s="5"/>
      <c r="P253" s="5"/>
      <c r="Q253" s="5"/>
    </row>
    <row r="254" spans="1:17">
      <c r="A254" s="14"/>
      <c r="B254" s="28"/>
      <c r="C254" s="5"/>
      <c r="D254" s="5"/>
      <c r="E254" s="4"/>
      <c r="F254" s="4"/>
      <c r="G254" s="4"/>
      <c r="H254" s="4"/>
      <c r="I254" s="4"/>
      <c r="J254" s="4"/>
      <c r="K254" s="5"/>
      <c r="L254" s="5"/>
      <c r="M254" s="5"/>
      <c r="N254" s="4"/>
      <c r="O254" s="5"/>
      <c r="P254" s="5"/>
      <c r="Q254" s="5"/>
    </row>
    <row r="255" spans="1:17">
      <c r="A255" s="14"/>
      <c r="B255" s="28"/>
      <c r="C255" s="5"/>
      <c r="D255" s="5"/>
      <c r="E255" s="4"/>
      <c r="F255" s="4"/>
      <c r="G255" s="4"/>
      <c r="H255" s="4"/>
      <c r="I255" s="4"/>
      <c r="J255" s="4"/>
      <c r="K255" s="5"/>
      <c r="L255" s="5"/>
      <c r="M255" s="5"/>
      <c r="N255" s="4"/>
      <c r="O255" s="5"/>
      <c r="P255" s="5"/>
      <c r="Q255" s="5"/>
    </row>
    <row r="256" spans="1:17">
      <c r="A256" s="14"/>
      <c r="B256" s="28"/>
      <c r="C256" s="5"/>
      <c r="D256" s="5"/>
      <c r="E256" s="4"/>
      <c r="F256" s="4"/>
      <c r="G256" s="4"/>
      <c r="H256" s="4"/>
      <c r="I256" s="4"/>
      <c r="J256" s="4"/>
      <c r="K256" s="5"/>
      <c r="L256" s="5"/>
      <c r="M256" s="5"/>
      <c r="N256" s="4"/>
      <c r="O256" s="5"/>
      <c r="P256" s="5"/>
      <c r="Q256" s="5"/>
    </row>
    <row r="257" spans="1:17" ht="14.5" thickBot="1">
      <c r="A257" s="14"/>
      <c r="B257" s="28"/>
      <c r="C257" s="5"/>
      <c r="D257" s="5"/>
      <c r="E257" s="4"/>
      <c r="F257" s="4"/>
      <c r="G257" s="4"/>
      <c r="H257" s="4"/>
      <c r="I257" s="4"/>
      <c r="J257" s="4"/>
      <c r="K257" s="5"/>
      <c r="L257" s="5"/>
      <c r="M257" s="5"/>
      <c r="N257" s="4"/>
      <c r="O257" s="5"/>
      <c r="P257" s="5"/>
      <c r="Q257" s="5"/>
    </row>
    <row r="258" spans="1:17">
      <c r="A258" s="12"/>
      <c r="B258" s="27"/>
      <c r="C258" s="3"/>
      <c r="D258" s="3"/>
      <c r="E258" s="2"/>
      <c r="F258" s="2"/>
      <c r="G258" s="2"/>
      <c r="H258" s="2"/>
      <c r="I258" s="2"/>
      <c r="J258" s="2"/>
      <c r="K258" s="3"/>
      <c r="L258" s="3"/>
      <c r="M258" s="3"/>
      <c r="N258" s="2"/>
      <c r="O258" s="3"/>
      <c r="P258" s="3"/>
      <c r="Q258" s="3"/>
    </row>
    <row r="259" spans="1:17" ht="14.5" thickBot="1">
      <c r="A259" s="14"/>
      <c r="B259" s="28"/>
      <c r="C259" s="5"/>
      <c r="D259" s="5"/>
      <c r="E259" s="4"/>
      <c r="F259" s="4"/>
      <c r="G259" s="4"/>
      <c r="H259" s="4"/>
      <c r="I259" s="4"/>
      <c r="J259" s="4"/>
      <c r="K259" s="5"/>
      <c r="L259" s="5"/>
      <c r="M259" s="5"/>
      <c r="N259" s="4"/>
      <c r="O259" s="5"/>
      <c r="P259" s="5"/>
      <c r="Q259" s="5"/>
    </row>
    <row r="260" spans="1:17">
      <c r="A260" s="12"/>
      <c r="B260" s="27"/>
      <c r="C260" s="3"/>
      <c r="D260" s="3"/>
      <c r="E260" s="2"/>
      <c r="F260" s="2"/>
      <c r="G260" s="2"/>
      <c r="H260" s="2"/>
      <c r="I260" s="2"/>
      <c r="J260" s="2"/>
      <c r="K260" s="3"/>
      <c r="L260" s="3"/>
      <c r="M260" s="3"/>
      <c r="N260" s="2"/>
      <c r="O260" s="3"/>
      <c r="P260" s="3"/>
      <c r="Q260" s="3"/>
    </row>
    <row r="261" spans="1:17">
      <c r="A261" s="14"/>
      <c r="B261" s="28"/>
      <c r="C261" s="5"/>
      <c r="D261" s="5"/>
      <c r="E261" s="4"/>
      <c r="F261" s="4"/>
      <c r="G261" s="4"/>
      <c r="H261" s="4"/>
      <c r="I261" s="4"/>
      <c r="J261" s="4"/>
      <c r="K261" s="5"/>
      <c r="L261" s="5"/>
      <c r="M261" s="5"/>
      <c r="N261" s="4"/>
      <c r="O261" s="5"/>
      <c r="P261" s="5"/>
      <c r="Q261" s="5"/>
    </row>
    <row r="262" spans="1:17">
      <c r="A262" s="14"/>
      <c r="B262" s="28"/>
      <c r="C262" s="5"/>
      <c r="D262" s="5"/>
      <c r="E262" s="4"/>
      <c r="F262" s="4"/>
      <c r="G262" s="4"/>
      <c r="H262" s="4"/>
      <c r="I262" s="4"/>
      <c r="J262" s="4"/>
      <c r="K262" s="5"/>
      <c r="L262" s="5"/>
      <c r="M262" s="5"/>
      <c r="N262" s="4"/>
      <c r="O262" s="5"/>
      <c r="P262" s="5"/>
      <c r="Q262" s="5"/>
    </row>
    <row r="263" spans="1:17">
      <c r="A263" s="14"/>
      <c r="B263" s="28"/>
      <c r="C263" s="5"/>
      <c r="D263" s="5"/>
      <c r="E263" s="4"/>
      <c r="F263" s="4"/>
      <c r="G263" s="4"/>
      <c r="H263" s="4"/>
      <c r="I263" s="4"/>
      <c r="J263" s="4"/>
      <c r="K263" s="5"/>
      <c r="L263" s="5"/>
      <c r="M263" s="5"/>
      <c r="N263" s="4"/>
      <c r="O263" s="5"/>
      <c r="P263" s="5"/>
      <c r="Q263" s="5"/>
    </row>
    <row r="264" spans="1:17">
      <c r="A264" s="14"/>
      <c r="B264" s="28"/>
      <c r="C264" s="5"/>
      <c r="D264" s="5"/>
      <c r="E264" s="4"/>
      <c r="F264" s="4"/>
      <c r="G264" s="4"/>
      <c r="H264" s="4"/>
      <c r="I264" s="4"/>
      <c r="J264" s="4"/>
      <c r="K264" s="5"/>
      <c r="L264" s="5"/>
      <c r="M264" s="5"/>
      <c r="N264" s="4"/>
      <c r="O264" s="5"/>
      <c r="P264" s="5"/>
      <c r="Q264" s="5"/>
    </row>
    <row r="265" spans="1:17">
      <c r="A265" s="14"/>
      <c r="B265" s="28"/>
      <c r="C265" s="5"/>
      <c r="D265" s="5"/>
      <c r="E265" s="4"/>
      <c r="F265" s="4"/>
      <c r="G265" s="4"/>
      <c r="H265" s="4"/>
      <c r="I265" s="4"/>
      <c r="J265" s="4"/>
      <c r="K265" s="5"/>
      <c r="L265" s="5"/>
      <c r="M265" s="5"/>
      <c r="N265" s="4"/>
      <c r="O265" s="5"/>
      <c r="P265" s="5"/>
      <c r="Q265" s="5"/>
    </row>
    <row r="266" spans="1:17">
      <c r="A266" s="14"/>
      <c r="B266" s="28"/>
      <c r="C266" s="5"/>
      <c r="D266" s="5"/>
      <c r="E266" s="4"/>
      <c r="F266" s="4"/>
      <c r="G266" s="4"/>
      <c r="H266" s="4"/>
      <c r="I266" s="4"/>
      <c r="J266" s="4"/>
      <c r="K266" s="5"/>
      <c r="L266" s="5"/>
      <c r="M266" s="5"/>
      <c r="N266" s="4"/>
      <c r="O266" s="5"/>
      <c r="P266" s="5"/>
      <c r="Q266" s="5"/>
    </row>
    <row r="267" spans="1:17">
      <c r="A267" s="14"/>
      <c r="B267" s="28"/>
      <c r="C267" s="5"/>
      <c r="D267" s="5"/>
      <c r="E267" s="4"/>
      <c r="F267" s="4"/>
      <c r="G267" s="4"/>
      <c r="H267" s="4"/>
      <c r="I267" s="4"/>
      <c r="J267" s="4"/>
      <c r="K267" s="5"/>
      <c r="L267" s="5"/>
      <c r="M267" s="5"/>
      <c r="N267" s="4"/>
      <c r="O267" s="5"/>
      <c r="P267" s="5"/>
      <c r="Q267" s="5"/>
    </row>
    <row r="268" spans="1:17">
      <c r="A268" s="14"/>
      <c r="B268" s="28"/>
      <c r="C268" s="5"/>
      <c r="D268" s="5"/>
      <c r="E268" s="4"/>
      <c r="F268" s="4"/>
      <c r="G268" s="4"/>
      <c r="H268" s="4"/>
      <c r="I268" s="4"/>
      <c r="J268" s="4"/>
      <c r="K268" s="5"/>
      <c r="L268" s="5"/>
      <c r="M268" s="5"/>
      <c r="N268" s="4"/>
      <c r="O268" s="5"/>
      <c r="P268" s="5"/>
      <c r="Q268" s="5"/>
    </row>
    <row r="269" spans="1:17" ht="14.5" thickBot="1">
      <c r="A269" s="14"/>
      <c r="B269" s="28"/>
      <c r="C269" s="5"/>
      <c r="D269" s="5"/>
      <c r="E269" s="4"/>
      <c r="F269" s="4"/>
      <c r="G269" s="4"/>
      <c r="H269" s="4"/>
      <c r="I269" s="4"/>
      <c r="J269" s="4"/>
      <c r="K269" s="5"/>
      <c r="L269" s="5"/>
      <c r="M269" s="5"/>
      <c r="N269" s="4"/>
      <c r="O269" s="5"/>
      <c r="P269" s="5"/>
      <c r="Q269" s="5"/>
    </row>
    <row r="270" spans="1:17" ht="14.5" thickBot="1">
      <c r="A270" s="12"/>
      <c r="B270" s="27"/>
      <c r="C270" s="3"/>
      <c r="D270" s="3"/>
      <c r="E270" s="2"/>
      <c r="F270" s="2"/>
      <c r="G270" s="2"/>
      <c r="H270" s="2"/>
      <c r="I270" s="2"/>
      <c r="J270" s="2"/>
      <c r="K270" s="3"/>
      <c r="L270" s="3"/>
      <c r="M270" s="3"/>
      <c r="N270" s="2"/>
      <c r="O270" s="3"/>
      <c r="P270" s="3"/>
      <c r="Q270" s="3"/>
    </row>
    <row r="271" spans="1:17">
      <c r="A271" s="12"/>
      <c r="B271" s="27"/>
      <c r="C271" s="3"/>
      <c r="D271" s="3"/>
      <c r="E271" s="2"/>
      <c r="F271" s="2"/>
      <c r="G271" s="2"/>
      <c r="H271" s="2"/>
      <c r="I271" s="2"/>
      <c r="J271" s="2"/>
      <c r="K271" s="3"/>
      <c r="L271" s="3"/>
      <c r="M271" s="3"/>
      <c r="N271" s="2"/>
      <c r="O271" s="3"/>
      <c r="P271" s="3"/>
      <c r="Q271" s="3"/>
    </row>
    <row r="272" spans="1:17">
      <c r="A272" s="14"/>
      <c r="B272" s="28"/>
      <c r="C272" s="5"/>
      <c r="D272" s="5"/>
      <c r="E272" s="4"/>
      <c r="F272" s="4"/>
      <c r="G272" s="4"/>
      <c r="H272" s="4"/>
      <c r="I272" s="4"/>
      <c r="J272" s="4"/>
      <c r="K272" s="5"/>
      <c r="L272" s="5"/>
      <c r="M272" s="5"/>
      <c r="N272" s="4"/>
      <c r="O272" s="5"/>
      <c r="P272" s="5"/>
      <c r="Q272" s="5"/>
    </row>
    <row r="273" spans="1:17">
      <c r="A273" s="14"/>
      <c r="B273" s="28"/>
      <c r="C273" s="5"/>
      <c r="D273" s="5"/>
      <c r="E273" s="4"/>
      <c r="F273" s="4"/>
      <c r="G273" s="4"/>
      <c r="H273" s="4"/>
      <c r="I273" s="4"/>
      <c r="J273" s="4"/>
      <c r="K273" s="5"/>
      <c r="L273" s="5"/>
      <c r="M273" s="5"/>
      <c r="N273" s="4"/>
      <c r="O273" s="5"/>
      <c r="P273" s="5"/>
      <c r="Q273" s="5"/>
    </row>
    <row r="274" spans="1:17">
      <c r="A274" s="14"/>
      <c r="B274" s="28"/>
      <c r="C274" s="5"/>
      <c r="D274" s="5"/>
      <c r="E274" s="4"/>
      <c r="F274" s="4"/>
      <c r="G274" s="4"/>
      <c r="H274" s="4"/>
      <c r="I274" s="4"/>
      <c r="J274" s="4"/>
      <c r="K274" s="5"/>
      <c r="L274" s="5"/>
      <c r="M274" s="5"/>
      <c r="N274" s="4"/>
      <c r="O274" s="5"/>
      <c r="P274" s="5"/>
      <c r="Q274" s="5"/>
    </row>
    <row r="275" spans="1:17">
      <c r="A275" s="14"/>
      <c r="B275" s="28"/>
      <c r="C275" s="5"/>
      <c r="D275" s="5"/>
      <c r="E275" s="4"/>
      <c r="F275" s="4"/>
      <c r="G275" s="4"/>
      <c r="H275" s="4"/>
      <c r="I275" s="4"/>
      <c r="J275" s="4"/>
      <c r="K275" s="5"/>
      <c r="L275" s="5"/>
      <c r="M275" s="5"/>
      <c r="N275" s="4"/>
      <c r="O275" s="5"/>
      <c r="P275" s="5"/>
      <c r="Q275" s="5"/>
    </row>
    <row r="276" spans="1:17">
      <c r="A276" s="14"/>
      <c r="B276" s="28"/>
      <c r="C276" s="5"/>
      <c r="D276" s="5"/>
      <c r="E276" s="4"/>
      <c r="F276" s="4"/>
      <c r="G276" s="4"/>
      <c r="H276" s="4"/>
      <c r="I276" s="4"/>
      <c r="J276" s="4"/>
      <c r="K276" s="5"/>
      <c r="L276" s="5"/>
      <c r="M276" s="5"/>
      <c r="N276" s="4"/>
      <c r="O276" s="5"/>
      <c r="P276" s="5"/>
      <c r="Q276" s="5"/>
    </row>
    <row r="277" spans="1:17">
      <c r="A277" s="14"/>
      <c r="B277" s="28"/>
      <c r="C277" s="5"/>
      <c r="D277" s="5"/>
      <c r="E277" s="4"/>
      <c r="F277" s="4"/>
      <c r="G277" s="4"/>
      <c r="H277" s="4"/>
      <c r="I277" s="4"/>
      <c r="J277" s="4"/>
      <c r="K277" s="5"/>
      <c r="L277" s="5"/>
      <c r="M277" s="5"/>
      <c r="N277" s="4"/>
      <c r="O277" s="5"/>
      <c r="P277" s="5"/>
      <c r="Q277" s="5"/>
    </row>
    <row r="278" spans="1:17">
      <c r="A278" s="14"/>
      <c r="B278" s="28"/>
      <c r="C278" s="5"/>
      <c r="D278" s="5"/>
      <c r="E278" s="4"/>
      <c r="F278" s="4"/>
      <c r="G278" s="4"/>
      <c r="H278" s="4"/>
      <c r="I278" s="4"/>
      <c r="J278" s="4"/>
      <c r="K278" s="5"/>
      <c r="L278" s="5"/>
      <c r="M278" s="5"/>
      <c r="N278" s="4"/>
      <c r="O278" s="5"/>
      <c r="P278" s="5"/>
      <c r="Q278" s="5"/>
    </row>
    <row r="279" spans="1:17" ht="14.5" thickBot="1">
      <c r="A279" s="14"/>
      <c r="B279" s="28"/>
      <c r="C279" s="5"/>
      <c r="D279" s="5"/>
      <c r="E279" s="4"/>
      <c r="F279" s="4"/>
      <c r="G279" s="4"/>
      <c r="H279" s="4"/>
      <c r="I279" s="4"/>
      <c r="J279" s="4"/>
      <c r="K279" s="5"/>
      <c r="L279" s="5"/>
      <c r="M279" s="5"/>
      <c r="N279" s="4"/>
      <c r="O279" s="5"/>
      <c r="P279" s="5"/>
      <c r="Q279" s="5"/>
    </row>
    <row r="280" spans="1:17">
      <c r="A280" s="12"/>
      <c r="B280" s="27"/>
      <c r="C280" s="3"/>
      <c r="D280" s="3"/>
      <c r="E280" s="2"/>
      <c r="F280" s="2"/>
      <c r="G280" s="2"/>
      <c r="H280" s="2"/>
      <c r="I280" s="2"/>
      <c r="J280" s="2"/>
      <c r="K280" s="3"/>
      <c r="L280" s="3"/>
      <c r="M280" s="3"/>
      <c r="N280" s="2"/>
      <c r="O280" s="3"/>
      <c r="P280" s="3"/>
      <c r="Q280" s="3"/>
    </row>
    <row r="281" spans="1:17">
      <c r="A281" s="14"/>
      <c r="B281" s="28"/>
      <c r="C281" s="5"/>
      <c r="D281" s="5"/>
      <c r="E281" s="4"/>
      <c r="F281" s="4"/>
      <c r="G281" s="4"/>
      <c r="H281" s="4"/>
      <c r="I281" s="4"/>
      <c r="J281" s="4"/>
      <c r="K281" s="5"/>
      <c r="L281" s="5"/>
      <c r="M281" s="5"/>
      <c r="N281" s="4"/>
      <c r="O281" s="5"/>
      <c r="P281" s="5"/>
      <c r="Q281" s="5"/>
    </row>
    <row r="282" spans="1:17" ht="14.5" thickBot="1">
      <c r="A282" s="14"/>
      <c r="B282" s="28"/>
      <c r="C282" s="5"/>
      <c r="D282" s="5"/>
      <c r="E282" s="4"/>
      <c r="F282" s="4"/>
      <c r="G282" s="4"/>
      <c r="H282" s="4"/>
      <c r="I282" s="4"/>
      <c r="J282" s="4"/>
      <c r="K282" s="5"/>
      <c r="L282" s="5"/>
      <c r="M282" s="5"/>
      <c r="N282" s="4"/>
      <c r="O282" s="5"/>
      <c r="P282" s="5"/>
      <c r="Q282" s="5"/>
    </row>
    <row r="283" spans="1:17">
      <c r="A283" s="12"/>
      <c r="B283" s="27"/>
      <c r="C283" s="3"/>
      <c r="D283" s="3"/>
      <c r="E283" s="2"/>
      <c r="F283" s="2"/>
      <c r="G283" s="2"/>
      <c r="H283" s="2"/>
      <c r="I283" s="2"/>
      <c r="J283" s="2"/>
      <c r="K283" s="3"/>
      <c r="L283" s="3"/>
      <c r="M283" s="3"/>
      <c r="N283" s="2"/>
      <c r="O283" s="3"/>
      <c r="P283" s="3"/>
      <c r="Q283" s="3"/>
    </row>
    <row r="284" spans="1:17">
      <c r="A284" s="14"/>
      <c r="B284" s="28"/>
      <c r="C284" s="5"/>
      <c r="D284" s="5"/>
      <c r="E284" s="4"/>
      <c r="F284" s="4"/>
      <c r="G284" s="4"/>
      <c r="H284" s="4"/>
      <c r="I284" s="4"/>
      <c r="J284" s="4"/>
      <c r="K284" s="5"/>
      <c r="L284" s="5"/>
      <c r="M284" s="5"/>
      <c r="N284" s="4"/>
      <c r="O284" s="5"/>
      <c r="P284" s="5"/>
      <c r="Q284" s="5"/>
    </row>
    <row r="285" spans="1:17">
      <c r="A285" s="14"/>
      <c r="B285" s="28"/>
      <c r="C285" s="5"/>
      <c r="D285" s="5"/>
      <c r="E285" s="4"/>
      <c r="F285" s="4"/>
      <c r="G285" s="4"/>
      <c r="H285" s="4"/>
      <c r="I285" s="4"/>
      <c r="J285" s="4"/>
      <c r="K285" s="5"/>
      <c r="L285" s="5"/>
      <c r="M285" s="5"/>
      <c r="N285" s="4"/>
      <c r="O285" s="5"/>
      <c r="P285" s="5"/>
      <c r="Q285" s="5"/>
    </row>
    <row r="286" spans="1:17">
      <c r="A286" s="14"/>
      <c r="B286" s="28"/>
      <c r="C286" s="5"/>
      <c r="D286" s="5"/>
      <c r="E286" s="4"/>
      <c r="F286" s="4"/>
      <c r="G286" s="4"/>
      <c r="H286" s="4"/>
      <c r="I286" s="4"/>
      <c r="J286" s="4"/>
      <c r="K286" s="5"/>
      <c r="L286" s="5"/>
      <c r="M286" s="5"/>
      <c r="N286" s="4"/>
      <c r="O286" s="5"/>
      <c r="P286" s="5"/>
      <c r="Q286" s="5"/>
    </row>
    <row r="287" spans="1:17">
      <c r="A287" s="14"/>
      <c r="B287" s="28"/>
      <c r="C287" s="5"/>
      <c r="D287" s="5"/>
      <c r="E287" s="4"/>
      <c r="F287" s="4"/>
      <c r="G287" s="4"/>
      <c r="H287" s="4"/>
      <c r="I287" s="4"/>
      <c r="J287" s="4"/>
      <c r="K287" s="5"/>
      <c r="L287" s="5"/>
      <c r="M287" s="5"/>
      <c r="N287" s="4"/>
      <c r="O287" s="5"/>
      <c r="P287" s="5"/>
      <c r="Q287" s="5"/>
    </row>
    <row r="288" spans="1:17">
      <c r="A288" s="14"/>
      <c r="B288" s="28"/>
      <c r="C288" s="5"/>
      <c r="D288" s="5"/>
      <c r="E288" s="4"/>
      <c r="F288" s="4"/>
      <c r="G288" s="4"/>
      <c r="H288" s="4"/>
      <c r="I288" s="4"/>
      <c r="J288" s="4"/>
      <c r="K288" s="5"/>
      <c r="L288" s="5"/>
      <c r="M288" s="5"/>
      <c r="N288" s="4"/>
      <c r="O288" s="5"/>
      <c r="P288" s="5"/>
      <c r="Q288" s="5"/>
    </row>
    <row r="289" spans="1:17" ht="14.5" thickBot="1">
      <c r="A289" s="14"/>
      <c r="B289" s="28"/>
      <c r="C289" s="5"/>
      <c r="D289" s="5"/>
      <c r="E289" s="4"/>
      <c r="F289" s="4"/>
      <c r="G289" s="4"/>
      <c r="H289" s="4"/>
      <c r="I289" s="4"/>
      <c r="J289" s="4"/>
      <c r="K289" s="5"/>
      <c r="L289" s="5"/>
      <c r="M289" s="5"/>
      <c r="N289" s="4"/>
      <c r="O289" s="5"/>
      <c r="P289" s="5"/>
      <c r="Q289" s="5"/>
    </row>
    <row r="290" spans="1:17">
      <c r="A290" s="12"/>
      <c r="B290" s="27"/>
      <c r="C290" s="3"/>
      <c r="D290" s="3"/>
      <c r="E290" s="2"/>
      <c r="F290" s="2"/>
      <c r="G290" s="2"/>
      <c r="H290" s="2"/>
      <c r="I290" s="2"/>
      <c r="J290" s="2"/>
      <c r="K290" s="3"/>
      <c r="L290" s="3"/>
      <c r="M290" s="3"/>
      <c r="N290" s="2"/>
      <c r="O290" s="3"/>
      <c r="P290" s="3"/>
      <c r="Q290" s="3"/>
    </row>
    <row r="291" spans="1:17">
      <c r="A291" s="14"/>
      <c r="B291" s="28"/>
      <c r="C291" s="5"/>
      <c r="D291" s="5"/>
      <c r="E291" s="4"/>
      <c r="F291" s="4"/>
      <c r="G291" s="4"/>
      <c r="H291" s="4"/>
      <c r="I291" s="4"/>
      <c r="J291" s="4"/>
      <c r="K291" s="5"/>
      <c r="L291" s="5"/>
      <c r="M291" s="5"/>
      <c r="N291" s="4"/>
      <c r="O291" s="5"/>
      <c r="P291" s="5"/>
      <c r="Q291" s="5"/>
    </row>
    <row r="292" spans="1:17">
      <c r="A292" s="14"/>
      <c r="B292" s="28"/>
      <c r="C292" s="5"/>
      <c r="D292" s="5"/>
      <c r="E292" s="4"/>
      <c r="F292" s="4"/>
      <c r="G292" s="4"/>
      <c r="H292" s="4"/>
      <c r="I292" s="4"/>
      <c r="J292" s="4"/>
      <c r="K292" s="5"/>
      <c r="L292" s="5"/>
      <c r="M292" s="5"/>
      <c r="N292" s="4"/>
      <c r="O292" s="5"/>
      <c r="P292" s="5"/>
      <c r="Q292" s="5"/>
    </row>
    <row r="293" spans="1:17" ht="14.5" thickBot="1">
      <c r="A293" s="14"/>
      <c r="B293" s="28"/>
      <c r="C293" s="5"/>
      <c r="D293" s="5"/>
      <c r="E293" s="4"/>
      <c r="F293" s="4"/>
      <c r="G293" s="4"/>
      <c r="H293" s="4"/>
      <c r="I293" s="4"/>
      <c r="J293" s="4"/>
      <c r="K293" s="5"/>
      <c r="L293" s="5"/>
      <c r="M293" s="5"/>
      <c r="N293" s="4"/>
      <c r="O293" s="5"/>
      <c r="P293" s="5"/>
      <c r="Q293" s="5"/>
    </row>
    <row r="294" spans="1:17">
      <c r="A294" s="12"/>
      <c r="B294" s="29"/>
      <c r="C294" s="3"/>
      <c r="D294" s="3"/>
      <c r="E294" s="2"/>
      <c r="F294" s="2"/>
      <c r="G294" s="2"/>
      <c r="H294" s="2"/>
      <c r="I294" s="2"/>
      <c r="J294" s="2"/>
      <c r="K294" s="3"/>
      <c r="L294" s="3"/>
      <c r="M294" s="3"/>
      <c r="N294" s="2"/>
      <c r="O294" s="3"/>
      <c r="P294" s="3"/>
      <c r="Q294" s="3"/>
    </row>
    <row r="295" spans="1:17">
      <c r="A295" s="14"/>
      <c r="B295" s="30"/>
      <c r="C295" s="5"/>
      <c r="D295" s="5"/>
      <c r="E295" s="4"/>
      <c r="F295" s="4"/>
      <c r="G295" s="4"/>
      <c r="H295" s="4"/>
      <c r="I295" s="4"/>
      <c r="J295" s="4"/>
      <c r="K295" s="5"/>
      <c r="L295" s="5"/>
      <c r="M295" s="5"/>
      <c r="N295" s="4"/>
      <c r="O295" s="5"/>
      <c r="P295" s="5"/>
      <c r="Q295" s="5"/>
    </row>
    <row r="296" spans="1:17">
      <c r="A296" s="14"/>
      <c r="B296" s="30"/>
      <c r="C296" s="5"/>
      <c r="D296" s="5"/>
      <c r="E296" s="4"/>
      <c r="F296" s="4"/>
      <c r="G296" s="4"/>
      <c r="H296" s="4"/>
      <c r="I296" s="4"/>
      <c r="J296" s="4"/>
      <c r="K296" s="5"/>
      <c r="L296" s="5"/>
      <c r="M296" s="5"/>
      <c r="N296" s="4"/>
      <c r="O296" s="5"/>
      <c r="P296" s="5"/>
      <c r="Q296" s="5"/>
    </row>
    <row r="297" spans="1:17">
      <c r="A297" s="14"/>
      <c r="B297" s="30"/>
      <c r="C297" s="5"/>
      <c r="D297" s="5"/>
      <c r="E297" s="4"/>
      <c r="F297" s="4"/>
      <c r="G297" s="4"/>
      <c r="H297" s="4"/>
      <c r="I297" s="4"/>
      <c r="J297" s="4"/>
      <c r="K297" s="5"/>
      <c r="L297" s="5"/>
      <c r="M297" s="5"/>
      <c r="N297" s="4"/>
      <c r="O297" s="5"/>
      <c r="P297" s="5"/>
      <c r="Q297" s="5"/>
    </row>
    <row r="298" spans="1:17">
      <c r="A298" s="14"/>
      <c r="B298" s="30"/>
      <c r="C298" s="5"/>
      <c r="D298" s="5"/>
      <c r="E298" s="4"/>
      <c r="F298" s="4"/>
      <c r="G298" s="4"/>
      <c r="H298" s="4"/>
      <c r="I298" s="4"/>
      <c r="J298" s="4"/>
      <c r="K298" s="5"/>
      <c r="L298" s="5"/>
      <c r="M298" s="5"/>
      <c r="N298" s="4"/>
      <c r="O298" s="5"/>
      <c r="P298" s="5"/>
      <c r="Q298" s="5"/>
    </row>
    <row r="299" spans="1:17" ht="14.5" thickBot="1">
      <c r="A299" s="14"/>
      <c r="B299" s="30"/>
      <c r="C299" s="5"/>
      <c r="D299" s="5"/>
      <c r="E299" s="4"/>
      <c r="F299" s="4"/>
      <c r="G299" s="4"/>
      <c r="H299" s="4"/>
      <c r="I299" s="4"/>
      <c r="J299" s="4"/>
      <c r="K299" s="5"/>
      <c r="L299" s="5"/>
      <c r="M299" s="5"/>
      <c r="N299" s="4"/>
      <c r="O299" s="5"/>
      <c r="P299" s="5"/>
      <c r="Q299" s="5"/>
    </row>
    <row r="300" spans="1:17">
      <c r="A300" s="12"/>
      <c r="B300" s="29"/>
      <c r="C300" s="3"/>
      <c r="D300" s="3"/>
      <c r="E300" s="2"/>
      <c r="F300" s="2"/>
      <c r="G300" s="2"/>
      <c r="H300" s="2"/>
      <c r="I300" s="2"/>
      <c r="J300" s="2"/>
      <c r="K300" s="3"/>
      <c r="L300" s="3"/>
      <c r="M300" s="3"/>
      <c r="N300" s="2"/>
      <c r="O300" s="3"/>
      <c r="P300" s="3"/>
      <c r="Q300" s="3"/>
    </row>
    <row r="301" spans="1:17">
      <c r="A301" s="14"/>
      <c r="B301" s="30"/>
      <c r="C301" s="5"/>
      <c r="D301" s="5"/>
      <c r="E301" s="4"/>
      <c r="F301" s="4"/>
      <c r="G301" s="4"/>
      <c r="H301" s="4"/>
      <c r="I301" s="4"/>
      <c r="J301" s="4"/>
      <c r="K301" s="5"/>
      <c r="L301" s="5"/>
      <c r="M301" s="5"/>
      <c r="N301" s="4"/>
      <c r="O301" s="5"/>
      <c r="P301" s="5"/>
      <c r="Q301" s="5"/>
    </row>
    <row r="302" spans="1:17">
      <c r="A302" s="14"/>
      <c r="B302" s="30"/>
      <c r="C302" s="5"/>
      <c r="D302" s="5"/>
      <c r="E302" s="4"/>
      <c r="F302" s="4"/>
      <c r="G302" s="4"/>
      <c r="H302" s="4"/>
      <c r="I302" s="4"/>
      <c r="J302" s="4"/>
      <c r="K302" s="5"/>
      <c r="L302" s="5"/>
      <c r="M302" s="5"/>
      <c r="N302" s="4"/>
      <c r="O302" s="5"/>
      <c r="P302" s="5"/>
      <c r="Q302" s="5"/>
    </row>
    <row r="303" spans="1:17">
      <c r="A303" s="14"/>
      <c r="B303" s="30"/>
      <c r="C303" s="5"/>
      <c r="D303" s="5"/>
      <c r="E303" s="4"/>
      <c r="F303" s="4"/>
      <c r="G303" s="4"/>
      <c r="H303" s="4"/>
      <c r="I303" s="4"/>
      <c r="J303" s="4"/>
      <c r="K303" s="5"/>
      <c r="L303" s="5"/>
      <c r="M303" s="5"/>
      <c r="N303" s="4"/>
      <c r="O303" s="5"/>
      <c r="P303" s="5"/>
      <c r="Q303" s="5"/>
    </row>
    <row r="304" spans="1:17" ht="14.5" thickBot="1">
      <c r="A304" s="14"/>
      <c r="B304" s="30"/>
      <c r="C304" s="5"/>
      <c r="D304" s="5"/>
      <c r="E304" s="4"/>
      <c r="F304" s="4"/>
      <c r="G304" s="4"/>
      <c r="H304" s="4"/>
      <c r="I304" s="4"/>
      <c r="J304" s="4"/>
      <c r="K304" s="5"/>
      <c r="L304" s="5"/>
      <c r="M304" s="5"/>
      <c r="N304" s="4"/>
      <c r="O304" s="5"/>
      <c r="P304" s="5"/>
      <c r="Q304" s="5"/>
    </row>
    <row r="305" spans="1:17">
      <c r="A305" s="12"/>
      <c r="B305" s="29"/>
      <c r="C305" s="3"/>
      <c r="D305" s="3"/>
      <c r="E305" s="2"/>
      <c r="F305" s="2"/>
      <c r="G305" s="2"/>
      <c r="H305" s="2"/>
      <c r="I305" s="2"/>
      <c r="J305" s="2"/>
      <c r="K305" s="3"/>
      <c r="L305" s="3"/>
      <c r="M305" s="3"/>
      <c r="N305" s="2"/>
      <c r="O305" s="3"/>
      <c r="P305" s="3"/>
      <c r="Q305" s="3"/>
    </row>
    <row r="306" spans="1:17">
      <c r="A306" s="14"/>
      <c r="B306" s="30"/>
      <c r="C306" s="5"/>
      <c r="D306" s="5"/>
      <c r="E306" s="4"/>
      <c r="F306" s="4"/>
      <c r="G306" s="4"/>
      <c r="H306" s="4"/>
      <c r="I306" s="4"/>
      <c r="J306" s="4"/>
      <c r="K306" s="5"/>
      <c r="L306" s="5"/>
      <c r="M306" s="5"/>
      <c r="N306" s="4"/>
      <c r="O306" s="5"/>
      <c r="P306" s="5"/>
      <c r="Q306" s="5"/>
    </row>
    <row r="307" spans="1:17">
      <c r="A307" s="14"/>
      <c r="B307" s="30"/>
      <c r="C307" s="5"/>
      <c r="D307" s="5"/>
      <c r="E307" s="4"/>
      <c r="F307" s="4"/>
      <c r="G307" s="4"/>
      <c r="H307" s="4"/>
      <c r="I307" s="4"/>
      <c r="J307" s="4"/>
      <c r="K307" s="5"/>
      <c r="L307" s="5"/>
      <c r="M307" s="5"/>
      <c r="N307" s="4"/>
      <c r="O307" s="5"/>
      <c r="P307" s="5"/>
      <c r="Q307" s="5"/>
    </row>
    <row r="308" spans="1:17">
      <c r="A308" s="14"/>
      <c r="B308" s="30"/>
      <c r="C308" s="5"/>
      <c r="D308" s="5"/>
      <c r="E308" s="4"/>
      <c r="F308" s="4"/>
      <c r="G308" s="4"/>
      <c r="H308" s="4"/>
      <c r="I308" s="4"/>
      <c r="J308" s="4"/>
      <c r="K308" s="5"/>
      <c r="L308" s="5"/>
      <c r="M308" s="5"/>
      <c r="N308" s="4"/>
      <c r="O308" s="5"/>
      <c r="P308" s="5"/>
      <c r="Q308" s="5"/>
    </row>
    <row r="309" spans="1:17" ht="14.5" thickBot="1">
      <c r="A309" s="14"/>
      <c r="B309" s="30"/>
      <c r="C309" s="5"/>
      <c r="D309" s="5"/>
      <c r="E309" s="4"/>
      <c r="F309" s="4"/>
      <c r="G309" s="4"/>
      <c r="H309" s="4"/>
      <c r="I309" s="4"/>
      <c r="J309" s="4"/>
      <c r="K309" s="5"/>
      <c r="L309" s="5"/>
      <c r="M309" s="5"/>
      <c r="N309" s="4"/>
      <c r="O309" s="5"/>
      <c r="P309" s="5"/>
      <c r="Q309" s="5"/>
    </row>
    <row r="310" spans="1:17">
      <c r="A310" s="12"/>
      <c r="B310" s="29"/>
      <c r="C310" s="3"/>
      <c r="D310" s="3"/>
      <c r="E310" s="2"/>
      <c r="F310" s="2"/>
      <c r="G310" s="2"/>
      <c r="H310" s="2"/>
      <c r="I310" s="2"/>
      <c r="J310" s="2"/>
      <c r="K310" s="3"/>
      <c r="L310" s="3"/>
      <c r="M310" s="3"/>
      <c r="N310" s="2"/>
      <c r="O310" s="3"/>
      <c r="P310" s="3"/>
      <c r="Q310" s="3"/>
    </row>
    <row r="311" spans="1:17">
      <c r="A311" s="14"/>
      <c r="B311" s="30"/>
      <c r="C311" s="5"/>
      <c r="D311" s="5"/>
      <c r="E311" s="4"/>
      <c r="F311" s="4"/>
      <c r="G311" s="4"/>
      <c r="H311" s="4"/>
      <c r="I311" s="4"/>
      <c r="J311" s="4"/>
      <c r="K311" s="5"/>
      <c r="L311" s="5"/>
      <c r="M311" s="5"/>
      <c r="N311" s="4"/>
      <c r="O311" s="5"/>
      <c r="P311" s="5"/>
      <c r="Q311" s="5"/>
    </row>
    <row r="312" spans="1:17">
      <c r="A312" s="14"/>
      <c r="B312" s="30"/>
      <c r="C312" s="5"/>
      <c r="D312" s="5"/>
      <c r="E312" s="4"/>
      <c r="F312" s="4"/>
      <c r="G312" s="4"/>
      <c r="H312" s="4"/>
      <c r="I312" s="4"/>
      <c r="J312" s="4"/>
      <c r="K312" s="5"/>
      <c r="L312" s="5"/>
      <c r="M312" s="5"/>
      <c r="N312" s="4"/>
      <c r="O312" s="5"/>
      <c r="P312" s="5"/>
      <c r="Q312" s="5"/>
    </row>
    <row r="313" spans="1:17">
      <c r="A313" s="14"/>
      <c r="B313" s="30"/>
      <c r="C313" s="5"/>
      <c r="D313" s="5"/>
      <c r="E313" s="4"/>
      <c r="F313" s="4"/>
      <c r="G313" s="4"/>
      <c r="H313" s="4"/>
      <c r="I313" s="4"/>
      <c r="J313" s="4"/>
      <c r="K313" s="5"/>
      <c r="L313" s="5"/>
      <c r="M313" s="5"/>
      <c r="N313" s="4"/>
      <c r="O313" s="5"/>
      <c r="P313" s="5"/>
      <c r="Q313" s="5"/>
    </row>
    <row r="314" spans="1:17">
      <c r="A314" s="14"/>
      <c r="B314" s="30"/>
      <c r="C314" s="5"/>
      <c r="D314" s="5"/>
      <c r="E314" s="4"/>
      <c r="F314" s="4"/>
      <c r="G314" s="4"/>
      <c r="H314" s="4"/>
      <c r="I314" s="4"/>
      <c r="J314" s="4"/>
      <c r="K314" s="5"/>
      <c r="L314" s="5"/>
      <c r="M314" s="5"/>
      <c r="N314" s="4"/>
      <c r="O314" s="5"/>
      <c r="P314" s="5"/>
      <c r="Q314" s="5"/>
    </row>
    <row r="315" spans="1:17">
      <c r="A315" s="14"/>
      <c r="B315" s="30"/>
      <c r="C315" s="5"/>
      <c r="D315" s="5"/>
      <c r="E315" s="4"/>
      <c r="F315" s="4"/>
      <c r="G315" s="4"/>
      <c r="H315" s="4"/>
      <c r="I315" s="4"/>
      <c r="J315" s="4"/>
      <c r="K315" s="5"/>
      <c r="L315" s="5"/>
      <c r="M315" s="5"/>
      <c r="N315" s="4"/>
      <c r="O315" s="5"/>
      <c r="P315" s="5"/>
      <c r="Q315" s="5"/>
    </row>
    <row r="316" spans="1:17" ht="14.5" thickBot="1">
      <c r="A316" s="14"/>
      <c r="B316" s="30"/>
      <c r="C316" s="5"/>
      <c r="D316" s="5"/>
      <c r="E316" s="4"/>
      <c r="F316" s="4"/>
      <c r="G316" s="4"/>
      <c r="H316" s="4"/>
      <c r="I316" s="4"/>
      <c r="J316" s="4"/>
      <c r="K316" s="5"/>
      <c r="L316" s="5"/>
      <c r="M316" s="5"/>
      <c r="N316" s="4"/>
      <c r="O316" s="5"/>
      <c r="P316" s="5"/>
      <c r="Q316" s="5"/>
    </row>
    <row r="317" spans="1:17">
      <c r="A317" s="12"/>
      <c r="B317" s="29"/>
      <c r="C317" s="3"/>
      <c r="D317" s="3"/>
      <c r="E317" s="2"/>
      <c r="F317" s="2"/>
      <c r="G317" s="2"/>
      <c r="H317" s="2"/>
      <c r="I317" s="2"/>
      <c r="J317" s="2"/>
      <c r="K317" s="3"/>
      <c r="L317" s="3"/>
      <c r="M317" s="3"/>
      <c r="N317" s="2"/>
      <c r="O317" s="3"/>
      <c r="P317" s="3"/>
      <c r="Q317" s="3"/>
    </row>
    <row r="318" spans="1:17">
      <c r="A318" s="14"/>
      <c r="B318" s="30"/>
      <c r="C318" s="5"/>
      <c r="D318" s="5"/>
      <c r="E318" s="4"/>
      <c r="F318" s="4"/>
      <c r="G318" s="4"/>
      <c r="H318" s="4"/>
      <c r="I318" s="4"/>
      <c r="J318" s="4"/>
      <c r="K318" s="5"/>
      <c r="L318" s="5"/>
      <c r="M318" s="5"/>
      <c r="N318" s="4"/>
      <c r="O318" s="5"/>
      <c r="P318" s="5"/>
      <c r="Q318" s="5"/>
    </row>
    <row r="319" spans="1:17" ht="14.5" thickBot="1">
      <c r="A319" s="14"/>
      <c r="B319" s="30"/>
      <c r="C319" s="5"/>
      <c r="D319" s="5"/>
      <c r="E319" s="4"/>
      <c r="F319" s="4"/>
      <c r="G319" s="4"/>
      <c r="H319" s="4"/>
      <c r="I319" s="4"/>
      <c r="J319" s="4"/>
      <c r="K319" s="5"/>
      <c r="L319" s="5"/>
      <c r="M319" s="5"/>
      <c r="N319" s="4"/>
      <c r="O319" s="5"/>
      <c r="P319" s="5"/>
      <c r="Q319" s="5"/>
    </row>
    <row r="320" spans="1:17">
      <c r="A320" s="12"/>
      <c r="B320" s="29"/>
      <c r="C320" s="3"/>
      <c r="D320" s="3"/>
      <c r="E320" s="2"/>
      <c r="F320" s="2"/>
      <c r="G320" s="2"/>
      <c r="H320" s="2"/>
      <c r="I320" s="2"/>
      <c r="J320" s="2"/>
      <c r="K320" s="3"/>
      <c r="L320" s="3"/>
      <c r="M320" s="3"/>
      <c r="N320" s="2"/>
      <c r="O320" s="3"/>
      <c r="P320" s="3"/>
      <c r="Q320" s="3"/>
    </row>
    <row r="321" spans="1:17">
      <c r="A321" s="14"/>
      <c r="B321" s="30"/>
      <c r="C321" s="5"/>
      <c r="D321" s="5"/>
      <c r="E321" s="4"/>
      <c r="F321" s="4"/>
      <c r="G321" s="4"/>
      <c r="H321" s="4"/>
      <c r="I321" s="4"/>
      <c r="J321" s="4"/>
      <c r="K321" s="5"/>
      <c r="L321" s="5"/>
      <c r="M321" s="5"/>
      <c r="N321" s="4"/>
      <c r="O321" s="5"/>
      <c r="P321" s="5"/>
      <c r="Q321" s="5"/>
    </row>
    <row r="322" spans="1:17">
      <c r="A322" s="14"/>
      <c r="B322" s="30"/>
      <c r="C322" s="5"/>
      <c r="D322" s="5"/>
      <c r="E322" s="4"/>
      <c r="F322" s="4"/>
      <c r="G322" s="4"/>
      <c r="H322" s="4"/>
      <c r="I322" s="4"/>
      <c r="J322" s="4"/>
      <c r="K322" s="5"/>
      <c r="L322" s="5"/>
      <c r="M322" s="5"/>
      <c r="N322" s="4"/>
      <c r="O322" s="5"/>
      <c r="P322" s="5"/>
      <c r="Q322" s="5"/>
    </row>
    <row r="323" spans="1:17">
      <c r="A323" s="14"/>
      <c r="B323" s="30"/>
      <c r="C323" s="5"/>
      <c r="D323" s="5"/>
      <c r="E323" s="4"/>
      <c r="F323" s="4"/>
      <c r="G323" s="4"/>
      <c r="H323" s="4"/>
      <c r="I323" s="4"/>
      <c r="J323" s="4"/>
      <c r="K323" s="5"/>
      <c r="L323" s="5"/>
      <c r="M323" s="5"/>
      <c r="N323" s="4"/>
      <c r="O323" s="5"/>
      <c r="P323" s="5"/>
      <c r="Q323" s="5"/>
    </row>
    <row r="324" spans="1:17">
      <c r="A324" s="14"/>
      <c r="B324" s="30"/>
      <c r="C324" s="5"/>
      <c r="D324" s="5"/>
      <c r="E324" s="4"/>
      <c r="F324" s="4"/>
      <c r="G324" s="4"/>
      <c r="H324" s="4"/>
      <c r="I324" s="4"/>
      <c r="J324" s="4"/>
      <c r="K324" s="5"/>
      <c r="L324" s="5"/>
      <c r="M324" s="5"/>
      <c r="N324" s="4"/>
      <c r="O324" s="5"/>
      <c r="P324" s="5"/>
      <c r="Q324" s="5"/>
    </row>
    <row r="325" spans="1:17">
      <c r="A325" s="14"/>
      <c r="B325" s="30"/>
      <c r="C325" s="5"/>
      <c r="D325" s="5"/>
      <c r="E325" s="4"/>
      <c r="F325" s="4"/>
      <c r="G325" s="4"/>
      <c r="H325" s="4"/>
      <c r="I325" s="4"/>
      <c r="J325" s="4"/>
      <c r="K325" s="5"/>
      <c r="L325" s="5"/>
      <c r="M325" s="5"/>
      <c r="N325" s="4"/>
      <c r="O325" s="5"/>
      <c r="P325" s="5"/>
      <c r="Q325" s="5"/>
    </row>
    <row r="326" spans="1:17">
      <c r="A326" s="14"/>
      <c r="B326" s="30"/>
      <c r="C326" s="5"/>
      <c r="D326" s="5"/>
      <c r="E326" s="4"/>
      <c r="F326" s="4"/>
      <c r="G326" s="4"/>
      <c r="H326" s="4"/>
      <c r="I326" s="4"/>
      <c r="J326" s="4"/>
      <c r="K326" s="5"/>
      <c r="L326" s="5"/>
      <c r="M326" s="5"/>
      <c r="N326" s="4"/>
      <c r="O326" s="5"/>
      <c r="P326" s="5"/>
      <c r="Q326" s="5"/>
    </row>
    <row r="327" spans="1:17" ht="14.5" thickBot="1">
      <c r="A327" s="14"/>
      <c r="B327" s="30"/>
      <c r="C327" s="5"/>
      <c r="D327" s="5"/>
      <c r="E327" s="4"/>
      <c r="F327" s="4"/>
      <c r="G327" s="4"/>
      <c r="H327" s="4"/>
      <c r="I327" s="4"/>
      <c r="J327" s="4"/>
      <c r="K327" s="5"/>
      <c r="L327" s="5"/>
      <c r="M327" s="5"/>
      <c r="N327" s="4"/>
      <c r="O327" s="5"/>
      <c r="P327" s="5"/>
      <c r="Q327" s="5"/>
    </row>
    <row r="328" spans="1:17">
      <c r="A328" s="12"/>
      <c r="B328" s="29"/>
      <c r="C328" s="3"/>
      <c r="D328" s="3"/>
      <c r="E328" s="2"/>
      <c r="F328" s="2"/>
      <c r="G328" s="2"/>
      <c r="H328" s="2"/>
      <c r="I328" s="2"/>
      <c r="J328" s="2"/>
      <c r="K328" s="3"/>
      <c r="L328" s="3"/>
      <c r="M328" s="3"/>
      <c r="N328" s="2"/>
      <c r="O328" s="3"/>
      <c r="P328" s="3"/>
      <c r="Q328" s="3"/>
    </row>
    <row r="329" spans="1:17" ht="14.5" thickBot="1">
      <c r="A329" s="14"/>
      <c r="B329" s="30"/>
      <c r="C329" s="5"/>
      <c r="D329" s="5"/>
      <c r="E329" s="4"/>
      <c r="F329" s="4"/>
      <c r="G329" s="4"/>
      <c r="H329" s="4"/>
      <c r="I329" s="4"/>
      <c r="J329" s="4"/>
      <c r="K329" s="5"/>
      <c r="L329" s="5"/>
      <c r="M329" s="5"/>
      <c r="N329" s="4"/>
      <c r="O329" s="5"/>
      <c r="P329" s="5"/>
      <c r="Q329" s="5"/>
    </row>
    <row r="330" spans="1:17">
      <c r="A330" s="12"/>
      <c r="B330" s="29"/>
      <c r="C330" s="3"/>
      <c r="D330" s="3"/>
      <c r="E330" s="2"/>
      <c r="F330" s="2"/>
      <c r="G330" s="2"/>
      <c r="H330" s="2"/>
      <c r="I330" s="2"/>
      <c r="J330" s="2"/>
      <c r="K330" s="3"/>
      <c r="L330" s="3"/>
      <c r="M330" s="3"/>
      <c r="N330" s="2"/>
      <c r="O330" s="3"/>
      <c r="P330" s="3"/>
      <c r="Q330" s="3"/>
    </row>
    <row r="331" spans="1:17">
      <c r="A331" s="14"/>
      <c r="B331" s="30"/>
      <c r="C331" s="5"/>
      <c r="D331" s="5"/>
      <c r="E331" s="4"/>
      <c r="F331" s="4"/>
      <c r="G331" s="4"/>
      <c r="H331" s="4"/>
      <c r="I331" s="4"/>
      <c r="J331" s="4"/>
      <c r="K331" s="5"/>
      <c r="L331" s="5"/>
      <c r="M331" s="5"/>
      <c r="N331" s="4"/>
      <c r="O331" s="5"/>
      <c r="P331" s="5"/>
      <c r="Q331" s="5"/>
    </row>
    <row r="332" spans="1:17">
      <c r="A332" s="14"/>
      <c r="B332" s="30"/>
      <c r="C332" s="5"/>
      <c r="D332" s="5"/>
      <c r="E332" s="4"/>
      <c r="F332" s="4"/>
      <c r="G332" s="4"/>
      <c r="H332" s="4"/>
      <c r="I332" s="4"/>
      <c r="J332" s="4"/>
      <c r="K332" s="5"/>
      <c r="L332" s="5"/>
      <c r="M332" s="5"/>
      <c r="N332" s="4"/>
      <c r="O332" s="5"/>
      <c r="P332" s="5"/>
      <c r="Q332" s="5"/>
    </row>
    <row r="333" spans="1:17">
      <c r="A333" s="14"/>
      <c r="B333" s="30"/>
      <c r="C333" s="5"/>
      <c r="D333" s="5"/>
      <c r="E333" s="4"/>
      <c r="F333" s="4"/>
      <c r="G333" s="4"/>
      <c r="H333" s="4"/>
      <c r="I333" s="4"/>
      <c r="J333" s="4"/>
      <c r="K333" s="5"/>
      <c r="L333" s="5"/>
      <c r="M333" s="5"/>
      <c r="N333" s="4"/>
      <c r="O333" s="5"/>
      <c r="P333" s="5"/>
      <c r="Q333" s="5"/>
    </row>
    <row r="334" spans="1:17">
      <c r="A334" s="14"/>
      <c r="B334" s="30"/>
      <c r="C334" s="5"/>
      <c r="D334" s="5"/>
      <c r="E334" s="4"/>
      <c r="F334" s="4"/>
      <c r="G334" s="4"/>
      <c r="H334" s="4"/>
      <c r="I334" s="4"/>
      <c r="J334" s="4"/>
      <c r="K334" s="5"/>
      <c r="L334" s="5"/>
      <c r="M334" s="5"/>
      <c r="N334" s="4"/>
      <c r="O334" s="5"/>
      <c r="P334" s="5"/>
      <c r="Q334" s="5"/>
    </row>
    <row r="335" spans="1:17">
      <c r="A335" s="14"/>
      <c r="B335" s="30"/>
      <c r="C335" s="5"/>
      <c r="D335" s="5"/>
      <c r="E335" s="4"/>
      <c r="F335" s="4"/>
      <c r="G335" s="4"/>
      <c r="H335" s="4"/>
      <c r="I335" s="4"/>
      <c r="J335" s="4"/>
      <c r="K335" s="5"/>
      <c r="L335" s="5"/>
      <c r="M335" s="5"/>
      <c r="N335" s="4"/>
      <c r="O335" s="5"/>
      <c r="P335" s="5"/>
      <c r="Q335" s="5"/>
    </row>
    <row r="336" spans="1:17">
      <c r="A336" s="14"/>
      <c r="B336" s="30"/>
      <c r="C336" s="5"/>
      <c r="D336" s="5"/>
      <c r="E336" s="4"/>
      <c r="F336" s="4"/>
      <c r="G336" s="4"/>
      <c r="H336" s="4"/>
      <c r="I336" s="4"/>
      <c r="J336" s="4"/>
      <c r="K336" s="5"/>
      <c r="L336" s="5"/>
      <c r="M336" s="5"/>
      <c r="N336" s="4"/>
      <c r="O336" s="5"/>
      <c r="P336" s="5"/>
      <c r="Q336" s="5"/>
    </row>
    <row r="337" spans="1:17">
      <c r="A337" s="14"/>
      <c r="B337" s="30"/>
      <c r="C337" s="5"/>
      <c r="D337" s="5"/>
      <c r="E337" s="4"/>
      <c r="F337" s="4"/>
      <c r="G337" s="4"/>
      <c r="H337" s="4"/>
      <c r="I337" s="4"/>
      <c r="J337" s="4"/>
      <c r="K337" s="5"/>
      <c r="L337" s="5"/>
      <c r="M337" s="5"/>
      <c r="N337" s="4"/>
      <c r="O337" s="5"/>
      <c r="P337" s="5"/>
      <c r="Q337" s="5"/>
    </row>
    <row r="338" spans="1:17" ht="14.5" thickBot="1">
      <c r="A338" s="14"/>
      <c r="B338" s="30"/>
      <c r="C338" s="5"/>
      <c r="D338" s="5"/>
      <c r="E338" s="4"/>
      <c r="F338" s="4"/>
      <c r="G338" s="4"/>
      <c r="H338" s="4"/>
      <c r="I338" s="4"/>
      <c r="J338" s="4"/>
      <c r="K338" s="5"/>
      <c r="L338" s="5"/>
      <c r="M338" s="5"/>
      <c r="N338" s="4"/>
      <c r="O338" s="5"/>
      <c r="P338" s="5"/>
      <c r="Q338" s="5"/>
    </row>
    <row r="339" spans="1:17" ht="14.5" thickBot="1">
      <c r="A339" s="31"/>
      <c r="B339" s="32"/>
      <c r="C339" s="7"/>
      <c r="D339" s="7"/>
      <c r="E339" s="6"/>
      <c r="F339" s="6"/>
      <c r="G339" s="6"/>
      <c r="H339" s="6"/>
      <c r="I339" s="6"/>
      <c r="J339" s="6"/>
      <c r="K339" s="7"/>
      <c r="L339" s="7"/>
      <c r="M339" s="7"/>
      <c r="N339" s="6"/>
      <c r="O339" s="7"/>
      <c r="P339" s="7"/>
      <c r="Q339" s="7"/>
    </row>
    <row r="340" spans="1:17">
      <c r="A340" s="14"/>
      <c r="B340" s="33"/>
      <c r="C340" s="5"/>
      <c r="D340" s="5"/>
      <c r="E340" s="4"/>
      <c r="F340" s="4"/>
      <c r="G340" s="4"/>
      <c r="H340" s="4"/>
      <c r="I340" s="4"/>
      <c r="J340" s="4"/>
      <c r="K340" s="5"/>
      <c r="L340" s="5"/>
      <c r="M340" s="5"/>
      <c r="N340" s="4"/>
      <c r="O340" s="5"/>
      <c r="P340" s="5"/>
      <c r="Q340" s="5"/>
    </row>
    <row r="341" spans="1:17">
      <c r="A341" s="14"/>
      <c r="B341" s="33"/>
      <c r="C341" s="5"/>
      <c r="D341" s="5"/>
      <c r="E341" s="4"/>
      <c r="F341" s="4"/>
      <c r="G341" s="4"/>
      <c r="H341" s="4"/>
      <c r="I341" s="4"/>
      <c r="J341" s="4"/>
      <c r="K341" s="5"/>
      <c r="L341" s="5"/>
      <c r="M341" s="5"/>
      <c r="N341" s="4"/>
      <c r="O341" s="5"/>
      <c r="P341" s="5"/>
      <c r="Q341" s="5"/>
    </row>
    <row r="342" spans="1:17">
      <c r="A342" s="14"/>
      <c r="B342" s="33"/>
      <c r="C342" s="5"/>
      <c r="D342" s="5"/>
      <c r="E342" s="4"/>
      <c r="F342" s="4"/>
      <c r="G342" s="4"/>
      <c r="H342" s="4"/>
      <c r="I342" s="4"/>
      <c r="J342" s="4"/>
      <c r="K342" s="5"/>
      <c r="L342" s="5"/>
      <c r="M342" s="5"/>
      <c r="N342" s="4"/>
      <c r="O342" s="5"/>
      <c r="P342" s="5"/>
      <c r="Q342" s="5"/>
    </row>
    <row r="343" spans="1:17">
      <c r="A343" s="14"/>
      <c r="B343" s="33"/>
      <c r="C343" s="5"/>
      <c r="D343" s="5"/>
      <c r="E343" s="4"/>
      <c r="F343" s="4"/>
      <c r="G343" s="4"/>
      <c r="H343" s="4"/>
      <c r="I343" s="4"/>
      <c r="J343" s="4"/>
      <c r="K343" s="5"/>
      <c r="L343" s="5"/>
      <c r="M343" s="5"/>
      <c r="N343" s="4"/>
      <c r="O343" s="5"/>
      <c r="P343" s="5"/>
      <c r="Q343" s="5"/>
    </row>
    <row r="344" spans="1:17">
      <c r="A344" s="14"/>
      <c r="B344" s="33"/>
      <c r="C344" s="5"/>
      <c r="D344" s="5"/>
      <c r="E344" s="4"/>
      <c r="F344" s="4"/>
      <c r="G344" s="4"/>
      <c r="H344" s="4"/>
      <c r="I344" s="4"/>
      <c r="J344" s="4"/>
      <c r="K344" s="5"/>
      <c r="L344" s="5"/>
      <c r="M344" s="5"/>
      <c r="N344" s="4"/>
      <c r="O344" s="5"/>
      <c r="P344" s="5"/>
      <c r="Q344" s="5"/>
    </row>
    <row r="345" spans="1:17">
      <c r="A345" s="14"/>
      <c r="B345" s="33"/>
      <c r="C345" s="5"/>
      <c r="D345" s="5"/>
      <c r="E345" s="4"/>
      <c r="F345" s="4"/>
      <c r="G345" s="4"/>
      <c r="H345" s="4"/>
      <c r="I345" s="4"/>
      <c r="J345" s="4"/>
      <c r="K345" s="5"/>
      <c r="L345" s="5"/>
      <c r="M345" s="5"/>
      <c r="N345" s="4"/>
      <c r="O345" s="5"/>
      <c r="P345" s="5"/>
      <c r="Q345" s="5"/>
    </row>
    <row r="346" spans="1:17">
      <c r="A346" s="14"/>
      <c r="B346" s="33"/>
      <c r="C346" s="5"/>
      <c r="D346" s="5"/>
      <c r="E346" s="4"/>
      <c r="F346" s="4"/>
      <c r="G346" s="4"/>
      <c r="H346" s="4"/>
      <c r="I346" s="4"/>
      <c r="J346" s="4"/>
      <c r="K346" s="5"/>
      <c r="L346" s="5"/>
      <c r="M346" s="5"/>
      <c r="N346" s="4"/>
      <c r="O346" s="5"/>
      <c r="P346" s="5"/>
      <c r="Q346" s="5"/>
    </row>
    <row r="347" spans="1:17">
      <c r="A347" s="14"/>
      <c r="B347" s="33"/>
      <c r="C347" s="5"/>
      <c r="D347" s="5"/>
      <c r="E347" s="4"/>
      <c r="F347" s="4"/>
      <c r="G347" s="4"/>
      <c r="H347" s="4"/>
      <c r="I347" s="4"/>
      <c r="J347" s="4"/>
      <c r="K347" s="5"/>
      <c r="L347" s="5"/>
      <c r="M347" s="5"/>
      <c r="N347" s="4"/>
      <c r="O347" s="5"/>
      <c r="P347" s="5"/>
      <c r="Q347" s="5"/>
    </row>
    <row r="348" spans="1:17">
      <c r="A348" s="14"/>
      <c r="B348" s="33"/>
      <c r="C348" s="5"/>
      <c r="D348" s="5"/>
      <c r="E348" s="4"/>
      <c r="F348" s="4"/>
      <c r="G348" s="4"/>
      <c r="H348" s="4"/>
      <c r="I348" s="4"/>
      <c r="J348" s="4"/>
      <c r="K348" s="5"/>
      <c r="L348" s="5"/>
      <c r="M348" s="5"/>
      <c r="N348" s="4"/>
      <c r="O348" s="5"/>
      <c r="P348" s="5"/>
      <c r="Q348" s="5"/>
    </row>
    <row r="349" spans="1:17">
      <c r="A349" s="14"/>
      <c r="B349" s="33"/>
      <c r="C349" s="5"/>
      <c r="D349" s="5"/>
      <c r="E349" s="4"/>
      <c r="F349" s="4"/>
      <c r="G349" s="4"/>
      <c r="H349" s="4"/>
      <c r="I349" s="4"/>
      <c r="J349" s="4"/>
      <c r="K349" s="5"/>
      <c r="L349" s="5"/>
      <c r="M349" s="5"/>
      <c r="N349" s="4"/>
      <c r="O349" s="5"/>
      <c r="P349" s="5"/>
      <c r="Q349" s="5"/>
    </row>
  </sheetData>
  <conditionalFormatting sqref="D90:D349">
    <cfRule type="colorScale" priority="1">
      <colorScale>
        <cfvo type="min"/>
        <cfvo type="percentile" val="50"/>
        <cfvo type="max"/>
        <color rgb="FFE2F0D9"/>
        <color rgb="FFFFF2CC"/>
        <color rgb="FFF4CCCC"/>
      </colorScale>
    </cfRule>
  </conditionalFormatting>
  <dataValidations count="1">
    <dataValidation type="list" sqref="L90:L401" xr:uid="{C408FCB1-52D2-4F95-8B5E-501220AF5EBF}">
      <formula1>"Active,Retired,Draft"</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961F3-765C-4C51-B54B-0FE383C70EB0}">
  <dimension ref="A1:C28"/>
  <sheetViews>
    <sheetView showGridLines="0" zoomScale="80" zoomScaleNormal="80" workbookViewId="0">
      <selection activeCell="A3" sqref="A3:B23"/>
    </sheetView>
  </sheetViews>
  <sheetFormatPr defaultRowHeight="14"/>
  <cols>
    <col min="1" max="1" width="71.4140625" bestFit="1" customWidth="1"/>
    <col min="2" max="2" width="91.25" bestFit="1" customWidth="1"/>
    <col min="3" max="3" width="15.1640625" bestFit="1" customWidth="1"/>
  </cols>
  <sheetData>
    <row r="1" spans="1:3" ht="18.5" thickBot="1">
      <c r="A1" s="35" t="s">
        <v>313</v>
      </c>
      <c r="B1" s="35"/>
      <c r="C1" s="35"/>
    </row>
    <row r="2" spans="1:3" ht="14.5" thickTop="1">
      <c r="A2" t="s">
        <v>314</v>
      </c>
    </row>
    <row r="3" spans="1:3" ht="14.5" thickBot="1">
      <c r="A3" s="36" t="s">
        <v>1</v>
      </c>
      <c r="B3" s="36" t="s">
        <v>315</v>
      </c>
      <c r="C3" s="36" t="s">
        <v>36</v>
      </c>
    </row>
    <row r="4" spans="1:3">
      <c r="A4" t="s">
        <v>34</v>
      </c>
      <c r="B4" t="s">
        <v>52</v>
      </c>
      <c r="C4">
        <f>COUNTIF('Technology Risk Assessment'!$B$2:$B$101,A4)</f>
        <v>10</v>
      </c>
    </row>
    <row r="5" spans="1:3">
      <c r="A5" t="s">
        <v>75</v>
      </c>
      <c r="B5" t="s">
        <v>80</v>
      </c>
      <c r="C5">
        <f>COUNTIF('Technology Risk Assessment'!$B$2:$B$101,A5)</f>
        <v>10</v>
      </c>
    </row>
    <row r="6" spans="1:3">
      <c r="A6" t="s">
        <v>33</v>
      </c>
      <c r="B6" t="s">
        <v>102</v>
      </c>
      <c r="C6">
        <f>COUNTIF('Technology Risk Assessment'!$B$2:$B$101,A6)</f>
        <v>10</v>
      </c>
    </row>
    <row r="7" spans="1:3">
      <c r="A7" t="s">
        <v>124</v>
      </c>
      <c r="B7" t="s">
        <v>129</v>
      </c>
      <c r="C7">
        <f>COUNTIF('Technology Risk Assessment'!$B$2:$B$101,A7)</f>
        <v>10</v>
      </c>
    </row>
    <row r="8" spans="1:3">
      <c r="A8" t="s">
        <v>152</v>
      </c>
      <c r="B8" t="s">
        <v>157</v>
      </c>
      <c r="C8">
        <f>COUNTIF('Technology Risk Assessment'!$B$2:$B$101,A8)</f>
        <v>10</v>
      </c>
    </row>
    <row r="9" spans="1:3">
      <c r="A9" t="s">
        <v>35</v>
      </c>
      <c r="B9" t="s">
        <v>183</v>
      </c>
      <c r="C9">
        <f>COUNTIF('Technology Risk Assessment'!$B$2:$B$101,A9)</f>
        <v>10</v>
      </c>
    </row>
    <row r="10" spans="1:3">
      <c r="A10" t="s">
        <v>205</v>
      </c>
      <c r="B10" t="s">
        <v>210</v>
      </c>
      <c r="C10">
        <f>COUNTIF('Technology Risk Assessment'!$B$2:$B$101,A10)</f>
        <v>10</v>
      </c>
    </row>
    <row r="11" spans="1:3">
      <c r="A11" t="s">
        <v>24</v>
      </c>
      <c r="B11" t="s">
        <v>236</v>
      </c>
      <c r="C11">
        <f>COUNTIF('Technology Risk Assessment'!$B$2:$B$101,A11)</f>
        <v>10</v>
      </c>
    </row>
    <row r="12" spans="1:3">
      <c r="A12" t="s">
        <v>15</v>
      </c>
      <c r="B12" t="s">
        <v>262</v>
      </c>
      <c r="C12">
        <f>COUNTIF('Technology Risk Assessment'!$B$2:$B$101,A12)</f>
        <v>10</v>
      </c>
    </row>
    <row r="13" spans="1:3">
      <c r="A13" t="s">
        <v>30</v>
      </c>
      <c r="B13" t="s">
        <v>290</v>
      </c>
      <c r="C13">
        <f>COUNTIF('Technology Risk Assessment'!$B$2:$B$101,A13)</f>
        <v>10</v>
      </c>
    </row>
    <row r="14" spans="1:3" ht="14.5" thickBot="1">
      <c r="A14" s="37" t="s">
        <v>31</v>
      </c>
      <c r="B14" s="37"/>
      <c r="C14" s="37">
        <f>SUM(C4:C13)</f>
        <v>100</v>
      </c>
    </row>
    <row r="16" spans="1:3">
      <c r="A16" s="38" t="s">
        <v>37</v>
      </c>
      <c r="B16" s="38" t="s">
        <v>9</v>
      </c>
    </row>
    <row r="17" spans="1:2">
      <c r="A17" t="s">
        <v>38</v>
      </c>
      <c r="B17" t="str">
        <f>IF(COUNTA('Technology Risk Assessment'!$A$2:$A$101)=COUNTA(_xlfn.UNIQUE('Technology Risk Assessment'!$A$2:$A$101)),"PASS — all IDs unique","FAIL — duplicate IDs")</f>
        <v>PASS — all IDs unique</v>
      </c>
    </row>
    <row r="18" spans="1:2">
      <c r="A18" t="s">
        <v>39</v>
      </c>
      <c r="B18" t="str">
        <f>IF(COUNTBLANK('Technology Risk Assessment'!$A$2:$Q$101)=0,"PASS — 0 blanks","FAIL — "&amp;COUNTBLANK('Technology Risk Assessment'!$A$2:$Q$101)&amp;" blank cells")</f>
        <v>PASS — 0 blanks</v>
      </c>
    </row>
    <row r="19" spans="1:2">
      <c r="A19" t="s">
        <v>40</v>
      </c>
      <c r="B19" t="str">
        <f>IF(COUNTIFS('Technology Risk Assessment'!$C$2:$C$101,"Objective Question",'Technology Risk Assessment'!$F$2:$F$101,"Correct answer: ?*")=COUNTIF('Technology Risk Assessment'!$C$2:$C$101,"Objective Question"),"PASS — all keys present","FAIL — missing answer key")</f>
        <v>PASS — all keys present</v>
      </c>
    </row>
    <row r="20" spans="1:2">
      <c r="A20" t="s">
        <v>41</v>
      </c>
      <c r="B20" t="str">
        <f>IF(COUNTBLANK('Technology Risk Assessment'!$P$2:$P$101)=0,"PASS — all populated","FAIL — missing mode")</f>
        <v>PASS — all populated</v>
      </c>
    </row>
    <row r="21" spans="1:2">
      <c r="A21" t="s">
        <v>42</v>
      </c>
      <c r="B21" t="str" cm="1">
        <f t="array" ref="B21">_xlfn.LET(_xlpm.q,_xlfn._xlws.FILTER('Technology Risk Assessment'!$E$2:$E$101,'Technology Risk Assessment'!$C$2:$C$101="Objective Question"),_xlpm.k,_xlfn._xlws.FILTER('Technology Risk Assessment'!$F$2:$F$101,'Technology Risk Assessment'!$C$2:$C$101="Objective Question"),_xlpm.bad,SUM(_xlfn.MAP(_xlpm.q,_xlpm.k,_xlfn.LAMBDA(_xlpm.x,_xlpm.y,_xlfn.LET(_xlpm.a,LEN(_xlfn.TEXTBEFORE(_xlfn.TEXTAFTER(_xlpm.x,"• A) "),CHAR(10)&amp;"• B)")),_xlpm.b,LEN(_xlfn.TEXTBEFORE(_xlfn.TEXTAFTER(_xlpm.x,"• B) "),CHAR(10)&amp;"• C)")),_xlpm.c,LEN(_xlfn.TEXTBEFORE(_xlfn.TEXTAFTER(_xlpm.x,"• C) "),CHAR(10)&amp;"• D)")),_xlpm.d,LEN(_xlfn.TEXTAFTER(_xlpm.x,"• D) ")),_xlpm.key,UPPER(_xlfn.TEXTBEFORE(_xlfn.TEXTAFTER(_xlpm.y,"Correct answer: "),";")),_xlpm.cl,CHOOSE(_xlfn.XMATCH(_xlpm.key,{"A","B","C","D"}),_xlpm.a,_xlpm.b,_xlpm.c,_xlpm.d),--(_xlpm.cl=MAX(_xlpm.a,_xlpm.b,_xlpm.c,_xlpm.d)))))),IF(_xlpm.bad=0,"PASS — correct answer never longest","FAIL — "&amp;_xlpm.bad&amp;" violation(s)"))</f>
        <v>PASS — correct answer never longest</v>
      </c>
    </row>
    <row r="22" spans="1:2">
      <c r="A22" t="s">
        <v>43</v>
      </c>
      <c r="B22" t="str">
        <f>IF(COUNTIF('Technology Risk Assessment'!$C$2:$C$101,"Objective Question")&gt;=60,"PASS — "&amp;COUNTIF('Technology Risk Assessment'!$C$2:$C$101,"Objective Question")&amp;" objective questions","FAIL — only "&amp;COUNTIF('Technology Risk Assessment'!$C$2:$C$101,"Objective Question")&amp;" objective questions")</f>
        <v>PASS — 60 objective questions</v>
      </c>
    </row>
    <row r="23" spans="1:2">
      <c r="A23" t="s">
        <v>336</v>
      </c>
      <c r="B23" t="str">
        <f>IF(COUNTIF('Technology Risk Assessment'!$E$2:$E$101,"*NIST*")&gt;=4,"PASS — cross-framework mapping tested","FAIL — insufficient mapping coverage")</f>
        <v>PASS — cross-framework mapping tested</v>
      </c>
    </row>
    <row r="24" spans="1:2">
      <c r="A24" t="s">
        <v>316</v>
      </c>
      <c r="B24" t="s">
        <v>317</v>
      </c>
    </row>
    <row r="25" spans="1:2">
      <c r="A25" t="s">
        <v>318</v>
      </c>
      <c r="B25" t="s">
        <v>319</v>
      </c>
    </row>
    <row r="26" spans="1:2">
      <c r="A26" t="s">
        <v>337</v>
      </c>
      <c r="B26" t="s">
        <v>338</v>
      </c>
    </row>
    <row r="27" spans="1:2" ht="14.5" thickBot="1">
      <c r="A27" s="8" t="s">
        <v>422</v>
      </c>
      <c r="B27" s="10" t="str">
        <f>IF(COUNTIFS('Technology Risk Assessment'!$C$2:$C$101,"&lt;&gt;Objective Question",'Technology Risk Assessment'!$K$2:$K$101,2)=COUNTIF('Technology Risk Assessment'!$C$2:$C$101,"&lt;&gt;Objective Question"),"PASS — all open responses set to 2 minutes","FAIL — timing mismatch")</f>
        <v>PASS — all open responses set to 2 minutes</v>
      </c>
    </row>
    <row r="28" spans="1:2" ht="15" thickTop="1" thickBot="1">
      <c r="A28" s="9" t="s">
        <v>423</v>
      </c>
      <c r="B28" s="11" t="s">
        <v>424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Technology Risk Assessment</vt:lpstr>
      <vt:lpstr>Technology Risk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Love Mendiratta</dc:creator>
  <cp:lastModifiedBy>Love Mendiratta</cp:lastModifiedBy>
  <dcterms:created xsi:type="dcterms:W3CDTF">2026-08-29T19:59:35Z</dcterms:created>
  <dcterms:modified xsi:type="dcterms:W3CDTF">2026-09-24T07:48:57Z</dcterms:modified>
</cp:coreProperties>
</file>