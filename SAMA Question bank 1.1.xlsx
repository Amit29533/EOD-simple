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ovo\Desktop\AnthroPrime\Partners\TNP\SAMA Role\"/>
    </mc:Choice>
  </mc:AlternateContent>
  <xr:revisionPtr revIDLastSave="0" documentId="13_ncr:1_{DB0FB357-3E01-4872-A91A-6E78AD195292}" xr6:coauthVersionLast="47" xr6:coauthVersionMax="47" xr10:uidLastSave="{00000000-0000-0000-0000-000000000000}"/>
  <bookViews>
    <workbookView xWindow="-110" yWindow="-110" windowWidth="19420" windowHeight="10300" xr2:uid="{DD3E76A3-F276-400B-98E7-D3560B8A1EAD}"/>
  </bookViews>
  <sheets>
    <sheet name="Technology Risk Assessment" sheetId="3" r:id="rId1"/>
    <sheet name="Technology Risk Summary"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3" i="4" l="1"/>
  <c r="B22" i="4"/>
  <c r="B21" i="4" a="1"/>
  <c r="B21" i="4" s="1"/>
  <c r="B20" i="4"/>
  <c r="B19" i="4"/>
  <c r="B18" i="4"/>
  <c r="B17" i="4"/>
  <c r="C14" i="4"/>
  <c r="C13" i="4"/>
  <c r="C12" i="4"/>
  <c r="C11" i="4"/>
  <c r="C10" i="4"/>
  <c r="C9" i="4"/>
  <c r="C8" i="4"/>
  <c r="C7" i="4"/>
  <c r="C6" i="4"/>
  <c r="C5" i="4"/>
  <c r="C4"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<sst xmlns="http://schemas.openxmlformats.org/spreadsheetml/2006/main" count="1458" uniqueCount="422">
  <si>
    <t>Question ID</t>
  </si>
  <si>
    <t>Module ID</t>
  </si>
  <si>
    <t>Type</t>
  </si>
  <si>
    <t>Difficulty 1-5</t>
  </si>
  <si>
    <t>Follow-up Probes</t>
  </si>
  <si>
    <t>Red Flags</t>
  </si>
  <si>
    <t>Gap Tag</t>
  </si>
  <si>
    <t>Enrichment Prescription</t>
  </si>
  <si>
    <t>Suggested Minutes</t>
  </si>
  <si>
    <t>Status</t>
  </si>
  <si>
    <t>Version</t>
  </si>
  <si>
    <t>Question Family</t>
  </si>
  <si>
    <t>Difficulty Band</t>
  </si>
  <si>
    <t>Assessment Mode</t>
  </si>
  <si>
    <t>Randomization Eligible</t>
  </si>
  <si>
    <t>F01</t>
  </si>
  <si>
    <t>Active</t>
  </si>
  <si>
    <t>Intermediate</t>
  </si>
  <si>
    <t>Live assessor</t>
  </si>
  <si>
    <t>Yes</t>
  </si>
  <si>
    <t>Either</t>
  </si>
  <si>
    <t>Objective Question</t>
  </si>
  <si>
    <t>Advanced</t>
  </si>
  <si>
    <t>Online assessment</t>
  </si>
  <si>
    <t>T01</t>
  </si>
  <si>
    <t>Scenario</t>
  </si>
  <si>
    <t>Deep Dive</t>
  </si>
  <si>
    <t>Incident</t>
  </si>
  <si>
    <t>Practical</t>
  </si>
  <si>
    <t>Experience Probe</t>
  </si>
  <si>
    <t>C01</t>
  </si>
  <si>
    <t>Grand Total</t>
  </si>
  <si>
    <t>Expected Evidence (JD-aligned)</t>
  </si>
  <si>
    <t>A01</t>
  </si>
  <si>
    <t>R01</t>
  </si>
  <si>
    <t>D01</t>
  </si>
  <si>
    <t>Question Count</t>
  </si>
  <si>
    <t>Validation Check</t>
  </si>
  <si>
    <t>Question IDs unique</t>
  </si>
  <si>
    <t>Required fields complete</t>
  </si>
  <si>
    <t>Objective answer keys present</t>
  </si>
  <si>
    <t>Assessment modes populated</t>
  </si>
  <si>
    <t>Correct option not longest</t>
  </si>
  <si>
    <t>Objective question count</t>
  </si>
  <si>
    <t>Technology Risk Assessment Question</t>
  </si>
  <si>
    <t>TRC-R01-001</t>
  </si>
  <si>
    <t>The SAMA Cyber Security Framework is organized around which high-level structure?
• A) Four domains covering leadership and governance, risk and compliance, operations and technology, and third-party cybersecurity.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</si>
  <si>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Correct answer: A; explain why the other options are weaker and identify the regulatory, technology, or business risk.</t>
  </si>
  <si>
    <t>Four domains covering leadership and governance, risk and compliance, operations and technology, and third-party cybersecurity.</t>
  </si>
  <si>
    <t>Accepts weak or incomplete evidence, confuses documentation with operation, ignores scope or regulatory context, or cannot link the control gap to credible risk.</t>
  </si>
  <si>
    <t>SAMA CSF &amp; Saudi Regulatory Assessment — R01</t>
  </si>
  <si>
    <t>Perform a SAMA CSF control-mapping and evidence-assessment exercise, distinguishing regulatory requirements, implementation evidence, maturity, gaps, and remediation.</t>
  </si>
  <si>
    <t>SAMA CSF &amp; Saudi Regulatory Assessment</t>
  </si>
  <si>
    <t>TRC-R01-002</t>
  </si>
  <si>
    <t>A bank has a cybersecurity policy approved three years ago, but no evidence of periodic review. What is the strongest assessment conclusion?
• A) Rely on a successful demonstration or isolated sample and conclude that the control is effective across all systems, users, periods, and regulatory requirements.
• B) The control design may exist, but operating effectiveness and continued regulatory alignment are not demonstrated.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</si>
  <si>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Correct answer: B; explain why the other options are weaker and identify the regulatory, technology, or business risk.</t>
  </si>
  <si>
    <t>The control design may exist, but operating effectiveness and continued regulatory alignment are not demonstrated.</t>
  </si>
  <si>
    <t>TRC-R01-003</t>
  </si>
  <si>
    <t>What is the most reliable evidence that a SAMA cybersecurity requirement is implemented?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Consistent policy, procedure, configuration, records, interviews, and sampled operation showing the control works in practice.
• D) Rely on a successful demonstration or isolated sample and conclude that the control is effective across all systems, users, periods, and regulatory requirements.</t>
  </si>
  <si>
    <t>Correct answer: C; explain why the other options are weaker and identify the regulatory, technology, or business risk.</t>
  </si>
  <si>
    <t>Consistent policy, procedure, configuration, records, interviews, and sampled operation showing the control works in practice.</t>
  </si>
  <si>
    <t>TRC-R01-004</t>
  </si>
  <si>
    <t>A control owner provides a policy that repeats the SAMA requirement. What should the assessor do next?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Trace the requirement to procedures, ownership, implementation records, technical evidence, and operating samples.</t>
  </si>
  <si>
    <t>Correct answer: D; explain why the other options are weaker and identify the regulatory, technology, or business risk.</t>
  </si>
  <si>
    <t>Trace the requirement to procedures, ownership, implementation records, technical evidence, and operating samples.</t>
  </si>
  <si>
    <t>TRC-R01-005</t>
  </si>
  <si>
    <t>TRC-R01-006</t>
  </si>
  <si>
    <t>TRC-R01-007</t>
  </si>
  <si>
    <t>Regulatory Scenario</t>
  </si>
  <si>
    <t>Plan a SAMA CSF assessment for a bank with multiple business units and inconsistent control ownership.</t>
  </si>
  <si>
    <t>What requirement or risk objective applies?;What evidence would you request?;How would you rate and communicate the risk?;What practical remediation and closure evidence are needed?</t>
  </si>
  <si>
    <t>Risk-based scope, regulatory mapping, stakeholders, evidence list, interviews, samples, maturity approach, quality review, findings, and reporting.</t>
  </si>
  <si>
    <t>Provides generic framework definitions, cannot distinguish design from operation, accepts unsupported assertions, or recommends impractical remediation without owners and evidence.</t>
  </si>
  <si>
    <t>TRC-R01-008</t>
  </si>
  <si>
    <t>Evidence Review</t>
  </si>
  <si>
    <t>A control owner submits a policy, one screenshot, and a verbal confirmation as evidence of compliance. Evaluate the evidence.</t>
  </si>
  <si>
    <t>Assessment of authenticity, period, population, scope, approval, implementation, operation, corroboration, and evidence gaps.</t>
  </si>
  <si>
    <t>TRC-R01-009</t>
  </si>
  <si>
    <t>TRC-R01-010</t>
  </si>
  <si>
    <t>Describe a hands-on SAMA CSF or comparable regulatory assessment you personally delivered.</t>
  </si>
  <si>
    <t>Specific scope, controls tested, evidence reviewed, interviews, samples, findings, risk ratings, remediation, stakeholder challenge, and outcome.</t>
  </si>
  <si>
    <t>TRC-R02-001</t>
  </si>
  <si>
    <t>R02</t>
  </si>
  <si>
    <t>Which four themes are central to the SAMA IT Governance Framework?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IT governance and leadership, IT risk management, IT operations management, and system change management.</t>
  </si>
  <si>
    <t>IT governance and leadership, IT risk management, IT operations management, and system change management.</t>
  </si>
  <si>
    <t>SAMA ITGF &amp; Technology Governance — R02</t>
  </si>
  <si>
    <t>Map IT governance, IT risk, operations, and system-change practices to SAMA ITGF requirements and prepare a governance improvement plan.</t>
  </si>
  <si>
    <t>SAMA ITGF &amp; Technology Governance</t>
  </si>
  <si>
    <t>TRC-R02-002</t>
  </si>
  <si>
    <t>The IT steering committee meets regularly but does not track decisions or actions. What is the main control concern?
• A) Governance activity occurs, but accountability, follow-through, and evidence of effective oversight are not demonstrated.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</si>
  <si>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Governance activity occurs, but accountability, follow-through, and evidence of effective oversight are not demonstrated.</t>
  </si>
  <si>
    <t>TRC-R02-003</t>
  </si>
  <si>
    <t>What best demonstrates effective IT risk governance?
• A) Accept the control owner's statement because the process is documented, then defer operating-effectiveness testing and population validation until the next annual review.
• B) Approved risk appetite, defined ownership, current risk assessments, monitored treatment plans, escalation, and governance reporting.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</si>
  <si>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Approved risk appetite, defined ownership, current risk assessments, monitored treatment plans, escalation, and governance reporting.</t>
  </si>
  <si>
    <t>TRC-R02-004</t>
  </si>
  <si>
    <t>An IT strategy exists but is not linked to business objectives or technology risks. What is the likely assessment?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The strategy is incomplete because alignment, risk consideration, prioritization, and measurable execution are not demonstrated.
• D) Accept the control owner's statement because the process is documented, then defer operating-effectiveness testing and population validation until the next annual review.</t>
  </si>
  <si>
    <t>The strategy is incomplete because alignment, risk consideration, prioritization, and measurable execution are not demonstrated.</t>
  </si>
  <si>
    <t>TRC-R02-005</t>
  </si>
  <si>
    <t>TRC-R02-006</t>
  </si>
  <si>
    <t>TRC-R02-007</t>
  </si>
  <si>
    <t>Governance Case</t>
  </si>
  <si>
    <t>Assess an IT governance model where CIO, CISO, risk, and business responsibilities overlap.</t>
  </si>
  <si>
    <t>Role mapping, independence, committees, decision rights, conflicts, escalation, accountability, evidence, and practical governance improvements.</t>
  </si>
  <si>
    <t>TRC-R02-008</t>
  </si>
  <si>
    <t>A bank has hundreds of overdue IT risks accepted by operational managers. Explain your assessment approach.</t>
  </si>
  <si>
    <t>Risk-acceptance authority, appetite, ageing, aggregation, challenge, compensating controls, escalation, systemic themes, and board visibility.</t>
  </si>
  <si>
    <t>TRC-R02-009</t>
  </si>
  <si>
    <t>TRC-R02-010</t>
  </si>
  <si>
    <t>Describe a technology-governance weakness you translated into a management-level risk.</t>
  </si>
  <si>
    <t>Requirement, condition, cause, risk event, business impact, governance consequence, evidence, recommendation, and stakeholder response.</t>
  </si>
  <si>
    <t>TRC-A01-001</t>
  </si>
  <si>
    <t>What is the difference between inherent and residual technology risk?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Inherent risk exists before controls; residual risk remains after considering control design and operating effectiveness.
• D) Rely on a successful demonstration or isolated sample and conclude that the control is effective across all systems, users, periods, and regulatory requirements.</t>
  </si>
  <si>
    <t>Inherent risk exists before controls; residual risk remains after considering control design and operating effectiveness.</t>
  </si>
  <si>
    <t>Technology Risk &amp; Control Assessment — A01</t>
  </si>
  <si>
    <t>Practise scoping, walkthroughs, design and operating-effectiveness testing, sampling, evidence evaluation, inherent risk, residual risk, and risk-rating calibration.</t>
  </si>
  <si>
    <t>Technology Risk &amp; Control Assessment</t>
  </si>
  <si>
    <t>TRC-A01-002</t>
  </si>
  <si>
    <t>A control is well designed but failed in three of twenty-five samples. What should the assessor do?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Evaluate the exceptions, population, frequency, cause, impact, compensating controls, and whether operation is reliable.</t>
  </si>
  <si>
    <t>Evaluate the exceptions, population, frequency, cause, impact, compensating controls, and whether operation is reliable.</t>
  </si>
  <si>
    <t>TRC-A01-003</t>
  </si>
  <si>
    <t>What best establishes operating effectiveness?
• A) Sufficient appropriate evidence that the control operated consistently, by authorized owners, throughout the assessment period.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</si>
  <si>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Sufficient appropriate evidence that the control operated consistently, by authorized owners, throughout the assessment period.</t>
  </si>
  <si>
    <t>TRC-A01-004</t>
  </si>
  <si>
    <t>When should a technology-risk assessment scope be expanded?
• A) Treat the issue as a documentation improvement only, without assessing technical exposure, business impact, likelihood, ownership, or residual risk.
• B) When evidence indicates interconnected systems, shared controls, broader populations, emerging risks, or systemic exceptions outside the initial scope.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</si>
  <si>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When evidence indicates interconnected systems, shared controls, broader populations, emerging risks, or systemic exceptions outside the initial scope.</t>
  </si>
  <si>
    <t>TRC-A01-005</t>
  </si>
  <si>
    <t>What is the strongest basis for a risk severity rating?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A defined method combining credible impact, likelihood, exposure, control effectiveness, asset criticality, and regulatory context.
• D) Treat the issue as a documentation improvement only, without assessing technical exposure, business impact, likelihood, ownership, or residual risk.</t>
  </si>
  <si>
    <t>A defined method combining credible impact, likelihood, exposure, control effectiveness, asset criticality, and regulatory context.</t>
  </si>
  <si>
    <t>TRC-A01-006</t>
  </si>
  <si>
    <t>A control owner presents a successful walkthrough of one transaction. What does this prove?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It supports process understanding and possibly design, but not sustained operating effectiveness across the period.</t>
  </si>
  <si>
    <t>It supports process understanding and possibly design, but not sustained operating effectiveness across the period.</t>
  </si>
  <si>
    <t>TRC-A01-007</t>
  </si>
  <si>
    <t>Assessment Case</t>
  </si>
  <si>
    <t>Plan an end-to-end technology-risk assessment of a critical mobile-banking application.</t>
  </si>
  <si>
    <t>Scope, critical assets, architecture, dependencies, threats, controls, evidence, walkthroughs, samples, testing, risk rating, findings, and reporting.</t>
  </si>
  <si>
    <t>TRC-A01-008</t>
  </si>
  <si>
    <t>Design a sampling approach for a monthly control with twelve executions and a daily automated control.</t>
  </si>
  <si>
    <t>Population completeness, frequency, risk, reliance, automated logic, change controls, sample rationale, exceptions, and documentation.</t>
  </si>
  <si>
    <t>TRC-A01-009</t>
  </si>
  <si>
    <t>A spreadsheet used as evidence has no owner, date, source, or reconciliation. Determine how you would treat it.</t>
  </si>
  <si>
    <t>Evidence reliability assessment, corroboration, completeness testing, source validation, limitations, and alternative evidence.</t>
  </si>
  <si>
    <t>TRC-A01-010</t>
  </si>
  <si>
    <t>Explain how you would assess a compensating control.</t>
  </si>
  <si>
    <t>Same risk objective, coverage, precision, timing, independence, sustainability, evidence, residual exposure, and formal acceptance.</t>
  </si>
  <si>
    <t>TRC-I01-001</t>
  </si>
  <si>
    <t>I01</t>
  </si>
  <si>
    <t>Which control most directly supports least privilege?
• A) Accept the control owner's statement because the process is documented, then defer operating-effectiveness testing and population validation until the next annual review.
• B) Role-based access approved by accountable owners and limited to documented need-to-have and need-to-know requirements.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</si>
  <si>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Role-based access approved by accountable owners and limited to documented need-to-have and need-to-know requirements.</t>
  </si>
  <si>
    <t>IAM, PAM &amp; Segregation of Duties — I01</t>
  </si>
  <si>
    <t>Assess joiner-mover-leaver, privileged access, service accounts, recertification, authentication, emergency access, SoD, and access-monitoring controls.</t>
  </si>
  <si>
    <t>IAM, PAM &amp; Segregation of Duties</t>
  </si>
  <si>
    <t>TRC-I01-002</t>
  </si>
  <si>
    <t>A quarterly access review contains manager approvals but no entitlement details. What is the key gap?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Reviewers cannot make an informed decision because users, roles, privileges, systems, and conflicts are not sufficiently visible.
• D) Accept the control owner's statement because the process is documented, then defer operating-effectiveness testing and population validation until the next annual review.</t>
  </si>
  <si>
    <t>Reviewers cannot make an informed decision because users, roles, privileges, systems, and conflicts are not sufficiently visible.</t>
  </si>
  <si>
    <t>TRC-I01-003</t>
  </si>
  <si>
    <t>What is the primary risk of shared privileged accounts?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Weak accountability and traceability, excessive access, credential misuse, and difficulty attributing administrative activity.</t>
  </si>
  <si>
    <t>Weak accountability and traceability, excessive access, credential misuse, and difficulty attributing administrative activity.</t>
  </si>
  <si>
    <t>TRC-I01-004</t>
  </si>
  <si>
    <t>An emergency account is permanently enabled and rarely reviewed. What should concern the assessor most?
• A) Standing privileged access bypasses normal controls without time limits, enhanced monitoring, documented use, or prompt review.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</si>
  <si>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Standing privileged access bypasses normal controls without time limits, enhanced monitoring, documented use, or prompt review.</t>
  </si>
  <si>
    <t>TRC-I01-005</t>
  </si>
  <si>
    <t>What evidence best supports an effective joiner-mover-leaver process?
• A) Rely on a successful demonstration or isolated sample and conclude that the control is effective across all systems, users, periods, and regulatory requirements.
• B) Timely HR-triggered requests, approvals, provisioning records, role changes, revocation, exceptions, reconciliation, and sampled completion.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</si>
  <si>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Timely HR-triggered requests, approvals, provisioning records, role changes, revocation, exceptions, reconciliation, and sampled completion.</t>
  </si>
  <si>
    <t>TRC-I01-006</t>
  </si>
  <si>
    <t>A service account has an interactive login and a non-expiring password. What is the best conclusion?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The account is exposed to misuse unless necessity, restrictions, ownership, vaulting, rotation, and monitoring are demonstrated.
• D) Rely on a successful demonstration or isolated sample and conclude that the control is effective across all systems, users, periods, and regulatory requirements.</t>
  </si>
  <si>
    <t>The account is exposed to misuse unless necessity, restrictions, ownership, vaulting, rotation, and monitoring are demonstrated.</t>
  </si>
  <si>
    <t>TRC-I01-007</t>
  </si>
  <si>
    <t>IAM Case</t>
  </si>
  <si>
    <t>Assess IAM and PAM for a critical core-banking environment.</t>
  </si>
  <si>
    <t>Identity lifecycle, privileged inventory, vaulting, MFA, session monitoring, recertification, SoD, emergency access, service accounts, logging, and exceptions.</t>
  </si>
  <si>
    <t>TRC-I01-008</t>
  </si>
  <si>
    <t>A terminated administrator accessed production two days after leaving. Lead the control assessment.</t>
  </si>
  <si>
    <t>Containment, identity sources, revocation timing, account paths, privileged sessions, approvals, impact, root cause, population testing, and remediation.</t>
  </si>
  <si>
    <t>TRC-I01-009</t>
  </si>
  <si>
    <t>Design testing for a semiannual user-access review covering twenty applications.</t>
  </si>
  <si>
    <t>Population completeness, application criticality, reviewer competence, entitlement clarity, SoD, evidence, completion, removals, exceptions, and follow-up.</t>
  </si>
  <si>
    <t>TRC-I01-010</t>
  </si>
  <si>
    <t>Stakeholder Challenge</t>
  </si>
  <si>
    <t>A technology leader argues that long-tenured administrators do not need PAM. Respond constructively.</t>
  </si>
  <si>
    <t>Risk-based challenge covering credential exposure, accountability, monitoring, emergency access, operational practicality, phased remediation, and compensating controls.</t>
  </si>
  <si>
    <t>TRC-O01-001</t>
  </si>
  <si>
    <t>O01</t>
  </si>
  <si>
    <t>A critical vulnerability exceeds the patch SLA. What should determine the risk response?
• A) Exploitability, asset criticality, exposure, threat activity, compensating controls, business impact, remediation timing, and formal escalation.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</si>
  <si>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Exploitability, asset criticality, exposure, threat activity, compensating controls, business impact, remediation timing, and formal escalation.</t>
  </si>
  <si>
    <t>Infrastructure &amp; Security Operations — O01</t>
  </si>
  <si>
    <t>Assess vulnerability, patching, hardening, network, endpoint, database, logging, monitoring, asset, and security-operations controls using technical evidence.</t>
  </si>
  <si>
    <t>Infrastructure &amp; Security Operations</t>
  </si>
  <si>
    <t>TRC-O01-002</t>
  </si>
  <si>
    <t>What is the strongest evidence that secure configuration standards are effective?
• A) Treat the issue as a documentation improvement only, without assessing technical exposure, business impact, likelihood, ownership, or residual risk.
• B) Approved baselines, automated compliance results, sampled configurations, exception governance, remediation records, and ongoing monitoring.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</si>
  <si>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Approved baselines, automated compliance results, sampled configurations, exception governance, remediation records, and ongoing monitoring.</t>
  </si>
  <si>
    <t>TRC-O01-003</t>
  </si>
  <si>
    <t>An asset inventory excludes cloud resources created by development teams. What is the primary risk?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Unknown assets may lack ownership, hardening, patching, monitoring, data classification, and incident-response coverage.
• D) Treat the issue as a documentation improvement only, without assessing technical exposure, business impact, likelihood, ownership, or residual risk.</t>
  </si>
  <si>
    <t>Unknown assets may lack ownership, hardening, patching, monitoring, data classification, and incident-response coverage.</t>
  </si>
  <si>
    <t>TRC-O01-004</t>
  </si>
  <si>
    <t>What should a vulnerability-management assessment test beyond scan completion?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Coverage, credentialed accuracy, prioritization, ownership, SLA performance, exceptions, remediation validation, and risk escalation.</t>
  </si>
  <si>
    <t>Coverage, credentialed accuracy, prioritization, ownership, SLA performance, exceptions, remediation validation, and risk escalation.</t>
  </si>
  <si>
    <t>TRC-O01-005</t>
  </si>
  <si>
    <t>A SIEM receives logs but alert use cases are not reviewed. What is the main concern?
• A) Logging exists, but detection relevance, coverage, tuning, ownership, response integration, and continued effectiveness are uncertain.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</si>
  <si>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Logging exists, but detection relevance, coverage, tuning, ownership, response integration, and continued effectiveness are uncertain.</t>
  </si>
  <si>
    <t>TRC-O01-006</t>
  </si>
  <si>
    <t>A firewall review confirms rules are documented but not business-justified. What is missing?
• A) Accept the control owner's statement because the process is documented, then defer operating-effectiveness testing and population validation until the next annual review.
• B) Current ownership, necessity, source and destination context, service purpose, risk, expiry, and evidence of removal or recertification.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</si>
  <si>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Current ownership, necessity, source and destination context, service purpose, risk, expiry, and evidence of removal or recertification.</t>
  </si>
  <si>
    <t>TRC-O01-007</t>
  </si>
  <si>
    <t>Infrastructure Case</t>
  </si>
  <si>
    <t>Assess security controls for data centers, networks, endpoints, databases, and cloud infrastructure supporting digital banking.</t>
  </si>
  <si>
    <t>Asset scope, architecture, baselines, segmentation, vulnerability, patching, endpoint controls, database controls, monitoring, resilience, and evidence.</t>
  </si>
  <si>
    <t>TRC-O01-008</t>
  </si>
  <si>
    <t>Design testing for patch management across servers, network devices, databases, and endpoints.</t>
  </si>
  <si>
    <t>Complete population, criticality, scan and deployment records, SLAs, exceptions, failures, unsupported assets, validation, and reporting.</t>
  </si>
  <si>
    <t>TRC-O01-009</t>
  </si>
  <si>
    <t>A ransomware event reveals that endpoint agents were missing from several servers. Assess the control failure.</t>
  </si>
  <si>
    <t>Inventory reconciliation, deployment coverage, health monitoring, exception process, ownership, alerting, cause, broader population, impact, and remediation.</t>
  </si>
  <si>
    <t>TRC-O01-010</t>
  </si>
  <si>
    <t>Explain how to assess whether network segmentation is effective rather than only documented.</t>
  </si>
  <si>
    <t>Architecture, configurations, traffic rules, route paths, firewall evidence, tests, monitoring, exceptions, administrative access, and failure scenarios.</t>
  </si>
  <si>
    <t>TRC-D01-001</t>
  </si>
  <si>
    <t>What best demonstrates effective change management?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Authorized, risk-assessed, tested, segregated, documented, scheduled, implemented, validated, and reviewable changes with controlled exceptions.</t>
  </si>
  <si>
    <t>Authorized, risk-assessed, tested, segregated, documented, scheduled, implemented, validated, and reviewable changes with controlled exceptions.</t>
  </si>
  <si>
    <t>Change, SDLC &amp; Application Security — D01</t>
  </si>
  <si>
    <t>Test change, release, emergency change, secure SDLC, code review, application security, production access, and configuration-management controls.</t>
  </si>
  <si>
    <t>Change, SDLC &amp; Application Security</t>
  </si>
  <si>
    <t>TRC-D01-002</t>
  </si>
  <si>
    <t>A developer can approve and deploy their own production change. What is the main risk?
• A) Insufficient segregation enables unauthorized or erroneous changes without independent challenge and accountability.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</si>
  <si>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Insufficient segregation enables unauthorized or erroneous changes without independent challenge and accountability.</t>
  </si>
  <si>
    <t>TRC-D01-003</t>
  </si>
  <si>
    <t>What should an emergency-change process include?
• A) Rely on a successful demonstration or isolated sample and conclude that the control is effective across all systems, users, periods, and regulatory requirements.
• B) Defined criteria, authorized approval, limited access, testing where feasible, logging, post-implementation validation, and prompt retrospective review.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</si>
  <si>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Defined criteria, authorized approval, limited access, testing where feasible, logging, post-implementation validation, and prompt retrospective review.</t>
  </si>
  <si>
    <t>TRC-D01-004</t>
  </si>
  <si>
    <t>A penetration test identifies high-risk findings before release. What is the best action?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Remediate or formally evaluate and approve residual risk with evidence before production, then verify closure.
• D) Rely on a successful demonstration or isolated sample and conclude that the control is effective across all systems, users, periods, and regulatory requirements.</t>
  </si>
  <si>
    <t>Remediate or formally evaluate and approve residual risk with evidence before production, then verify closure.</t>
  </si>
  <si>
    <t>TRC-D01-005</t>
  </si>
  <si>
    <t>What is the strongest evidence of secure SDLC operation?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Security requirements, threat analysis, secure coding, reviews, testing, defect treatment, approvals, release gates, and sampled projects.</t>
  </si>
  <si>
    <t>Security requirements, threat analysis, secure coding, reviews, testing, defect treatment, approvals, release gates, and sampled projects.</t>
  </si>
  <si>
    <t>TRC-D01-006</t>
  </si>
  <si>
    <t>A configuration change is implemented successfully but the CMDB is not updated. What risk remains?
• A) Inaccurate configuration records impair impact analysis, incident response, change planning, ownership, and recovery.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</si>
  <si>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Inaccurate configuration records impair impact analysis, incident response, change planning, ownership, and recovery.</t>
  </si>
  <si>
    <t>TRC-D01-007</t>
  </si>
  <si>
    <t>Application Case</t>
  </si>
  <si>
    <t>Assess secure SDLC and release controls for an internet-facing banking application.</t>
  </si>
  <si>
    <t>Requirements, architecture review, coding standards, dependencies, testing, secrets, access, segregation, defects, approvals, deployment, and monitoring.</t>
  </si>
  <si>
    <t>TRC-D01-008</t>
  </si>
  <si>
    <t>An emergency production change causes a two-hour outage. Conduct the control review.</t>
  </si>
  <si>
    <t>Trigger, authorization, testing, rollback, segregation, monitoring, post-review, root cause, similar changes, accountability, and improvements.</t>
  </si>
  <si>
    <t>TRC-D01-009</t>
  </si>
  <si>
    <t>Design testing for standard, normal, and emergency changes over a six-month period.</t>
  </si>
  <si>
    <t>Population completeness, categories, sampling, authorization, testing, segregation, scheduling, implementation, backout, validation, and exceptions.</t>
  </si>
  <si>
    <t>TRC-D01-010</t>
  </si>
  <si>
    <t>A delivery team says security reviews delay releases and should occur after deployment. Respond.</t>
  </si>
  <si>
    <t>Risk-based security gates, early integration, automation, criticality, exception governance, evidence, delivery practicality, and residual-risk accountability.</t>
  </si>
  <si>
    <t>TRC-B01-001</t>
  </si>
  <si>
    <t>B01</t>
  </si>
  <si>
    <t>What is the purpose of a disaster-recovery test?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Demonstrate that critical services can be recovered within approved objectives using workable people, technology, data, dependencies, and procedures.
• D) Treat the issue as a documentation improvement only, without assessing technical exposure, business impact, likelihood, ownership, or residual risk.</t>
  </si>
  <si>
    <t>Demonstrate that critical services can be recovered within approved objectives using workable people, technology, data, dependencies, and procedures.</t>
  </si>
  <si>
    <t>Resilience, Incident &amp; Recovery — B01</t>
  </si>
  <si>
    <t>Evaluate incident response, backup, recovery, availability, BCP, disaster recovery, crisis escalation, recovery objectives, and resilience testing.</t>
  </si>
  <si>
    <t>Resilience, Incident &amp; Recovery</t>
  </si>
  <si>
    <t>TRC-B01-002</t>
  </si>
  <si>
    <t>A backup job reports success but restoration has never been tested. What is the key conclusion?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Backup completion does not demonstrate recoverability, integrity, restoration time, dependency recovery, or operational readiness.</t>
  </si>
  <si>
    <t>Backup completion does not demonstrate recoverability, integrity, restoration time, dependency recovery, or operational readiness.</t>
  </si>
  <si>
    <t>TRC-B01-003</t>
  </si>
  <si>
    <t>What should determine recovery time and recovery point objectives?
• A) Business impact, service criticality, regulatory obligations, customer harm, dependencies, data tolerance, and approved risk appetite.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</si>
  <si>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Business impact, service criticality, regulatory obligations, customer harm, dependencies, data tolerance, and approved risk appetite.</t>
  </si>
  <si>
    <t>TRC-B01-004</t>
  </si>
  <si>
    <t>An incident is closed when systems recover, but root cause is not addressed. What risk remains?
• A) Accept the control owner's statement because the process is documented, then defer operating-effectiveness testing and population validation until the next annual review.
• B) The underlying weakness may recur because corrective actions, lessons learned, ownership, and systemic remediation are incomplete.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</si>
  <si>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The underlying weakness may recur because corrective actions, lessons learned, ownership, and systemic remediation are incomplete.</t>
  </si>
  <si>
    <t>TRC-B01-005</t>
  </si>
  <si>
    <t>What is the strongest evidence of effective incident escalation?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Defined thresholds applied in actual incidents, timely notification, decision records, regulatory consideration, ownership, and post-incident review.
• D) Accept the control owner's statement because the process is documented, then defer operating-effectiveness testing and population validation until the next annual review.</t>
  </si>
  <si>
    <t>Defined thresholds applied in actual incidents, timely notification, decision records, regulatory consideration, ownership, and post-incident review.</t>
  </si>
  <si>
    <t>TRC-B01-006</t>
  </si>
  <si>
    <t>A DR test excludes a critical third-party interface. What is the main limitation?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End-to-end recovery is unproven because an essential dependency and associated failure scenario were not tested.</t>
  </si>
  <si>
    <t>End-to-end recovery is unproven because an essential dependency and associated failure scenario were not tested.</t>
  </si>
  <si>
    <t>TRC-B01-007</t>
  </si>
  <si>
    <t>Resilience Case</t>
  </si>
  <si>
    <t>Assess resilience of core banking, payment, digital channels, and supporting infrastructure.</t>
  </si>
  <si>
    <t>Critical services, BIA, dependencies, architecture, capacity, HA, backup, recovery, cyber resilience, tests, incidents, objectives, and governance.</t>
  </si>
  <si>
    <t>TRC-B01-008</t>
  </si>
  <si>
    <t>Evaluate a DR test report that shows recovery but exceeds the approved RTO.</t>
  </si>
  <si>
    <t>Objective breach, causes, business impact, workaround, data integrity, dependency issues, risk acceptance, actions, retest, and escalation.</t>
  </si>
  <si>
    <t>TRC-B01-009</t>
  </si>
  <si>
    <t>A major payment outage occurs during peak processing. Explain the first-day risk and control assessment.</t>
  </si>
  <si>
    <t>Timeline, impact, command structure, detection, escalation, changes, capacity, dependencies, recovery, customer harm, regulatory reporting, and evidence preservation.</t>
  </si>
  <si>
    <t>TRC-B01-010</t>
  </si>
  <si>
    <t>Explain how you would validate backup controls for a critical database.</t>
  </si>
  <si>
    <t>Scope, frequency, encryption, immutability, retention, monitoring, failures, access, offsite copies, restoration, integrity, RPO, and evidence.</t>
  </si>
  <si>
    <t>TRC-T01-001</t>
  </si>
  <si>
    <t>Who remains accountable for technology risk when a bank outsources a critical service?
• A) Rely on a successful demonstration or isolated sample and conclude that the control is effective across all systems, users, periods, and regulatory requirements.
• B) The bank remains accountable and must conduct due diligence, contract controls, monitoring, risk management, resilience, and exit planning.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</si>
  <si>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The bank remains accountable and must conduct due diligence, contract controls, monitoring, risk management, resilience, and exit planning.</t>
  </si>
  <si>
    <t>Third-Party, Cloud &amp; Data Protection — T01</t>
  </si>
  <si>
    <t>Assess outsourcing, vendor oversight, cloud shared responsibility, concentration, exit planning, data protection, NCA ECC, and Saudi PDPL dependencies.</t>
  </si>
  <si>
    <t>Third-Party, Cloud &amp; Data Protection</t>
  </si>
  <si>
    <t>TRC-T01-002</t>
  </si>
  <si>
    <t>What is the main purpose of a cloud shared-responsibility assessment?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Clarify which security, compliance, operational, data, and resilience controls belong to the bank, provider, or both.
• D) Rely on a successful demonstration or isolated sample and conclude that the control is effective across all systems, users, periods, and regulatory requirements.</t>
  </si>
  <si>
    <t>Clarify which security, compliance, operational, data, and resilience controls belong to the bank, provider, or both.</t>
  </si>
  <si>
    <t>TRC-T01-003</t>
  </si>
  <si>
    <t>A vendor provides a certification report with several exceptions. What should the bank do?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Assess relevance, period, scope, complementary controls, exceptions, impact, remediation, other evidence, and residual risk.</t>
  </si>
  <si>
    <t>Assess relevance, period, scope, complementary controls, exceptions, impact, remediation, other evidence, and residual risk.</t>
  </si>
  <si>
    <t>TRC-T01-004</t>
  </si>
  <si>
    <t>What best addresses third-party concentration risk?
• A) Identify common providers and dependencies, assess correlated failure impact, establish resilience options, monitor exposure, and plan alternatives.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</si>
  <si>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Identify common providers and dependencies, assess correlated failure impact, establish resilience options, monitor exposure, and plan alternatives.</t>
  </si>
  <si>
    <t>TRC-T01-005</t>
  </si>
  <si>
    <t>What should an outsourcing exit plan demonstrate?
• A) Treat the issue as a documentation improvement only, without assessing technical exposure, business impact, likelihood, ownership, or residual risk.
• B) Feasible transition, data return or deletion, continuity, access revocation, dependency migration, ownership, timing, testing, and contractual support.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</si>
  <si>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Feasible transition, data return or deletion, continuity, access revocation, dependency migration, ownership, timing, testing, and contractual support.</t>
  </si>
  <si>
    <t>TRC-T01-006</t>
  </si>
  <si>
    <t>How should Saudi PDPL considerations appear in a technology-risk review?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Assess lawful handling, purpose, minimization, access, security, retention, transfers, rights support, incidents, and accountable data governance.
• D) Treat the issue as a documentation improvement only, without assessing technical exposure, business impact, likelihood, ownership, or residual risk.</t>
  </si>
  <si>
    <t>Assess lawful handling, purpose, minimization, access, security, retention, transfers, rights support, incidents, and accountable data governance.</t>
  </si>
  <si>
    <t>TRC-T01-007</t>
  </si>
  <si>
    <t>Third-Party Case</t>
  </si>
  <si>
    <t>Assess a cloud provider hosting customer-facing banking workloads.</t>
  </si>
  <si>
    <t>Due diligence, regulatory approval, shared responsibility, architecture, data location, IAM, monitoring, resilience, subcontractors, incidents, assurance, concentration, and exit.</t>
  </si>
  <si>
    <t>TRC-T01-008</t>
  </si>
  <si>
    <t>A vendor submits an expired audit report and a management letter claiming all issues are resolved. Evaluate the evidence.</t>
  </si>
  <si>
    <t>Period gap, scope, independence, exception closure, corroboration, current controls, complementary controls, risk, and required follow-up.</t>
  </si>
  <si>
    <t>TRC-T01-009</t>
  </si>
  <si>
    <t>Design ongoing monitoring for critical technology vendors.</t>
  </si>
  <si>
    <t>Criticality, services, SLAs, incidents, vulnerabilities, changes, financial health, concentration, assurance, compliance, resilience tests, issues, and governance.</t>
  </si>
  <si>
    <t>TRC-T01-010</t>
  </si>
  <si>
    <t>Explain how NCA ECC and Saudi PDPL should complement a SAMA-focused banking assessment.</t>
  </si>
  <si>
    <t>Requirement hierarchy, applicability, mapping, overlaps, gaps, evidence reuse, privacy-specific obligations, no substitution for SAMA, and integrated remediation.</t>
  </si>
  <si>
    <t>TRC-F01-001</t>
  </si>
  <si>
    <t>Which sequence produces the clearest technology-risk finding?
• A) Requirement, observed condition, evidence, control deficiency, cause, risk event, impact, likelihood, severity, recommendation, owner, and timeline.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</si>
  <si>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Requirement, observed condition, evidence, control deficiency, cause, risk event, impact, likelihood, severity, recommendation, owner, and timeline.</t>
  </si>
  <si>
    <t>Findings, Remediation &amp; Closure — F01</t>
  </si>
  <si>
    <t>Write clear findings linking requirement, condition, cause, control gap, risk, impact, likelihood, severity, action, owner, timeline, and closure evidence.</t>
  </si>
  <si>
    <t>Findings, Remediation &amp; Closure</t>
  </si>
  <si>
    <t>TRC-F01-002</t>
  </si>
  <si>
    <t>What is wrong with the statement 'Patch management is weak'?
• A) Accept the control owner's statement because the process is documented, then defer operating-effectiveness testing and population validation until the next annual review.
• B) It lacks requirement, scope, condition, evidence, cause, risk, impact, severity basis, and actionable remediation.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</si>
  <si>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It lacks requirement, scope, condition, evidence, cause, risk, impact, severity basis, and actionable remediation.</t>
  </si>
  <si>
    <t>TRC-F01-003</t>
  </si>
  <si>
    <t>A remediation plan says 'improve access controls.' What should the consultant request?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Specific actions addressing root cause, accountable owners, milestones, target dates, dependencies, success criteria, and closure evidence.
• D) Accept the control owner's statement because the process is documented, then defer operating-effectiveness testing and population validation until the next annual review.</t>
  </si>
  <si>
    <t>Specific actions addressing root cause, accountable owners, milestones, target dates, dependencies, success criteria, and closure evidence.</t>
  </si>
  <si>
    <t>TRC-F01-004</t>
  </si>
  <si>
    <t>When can a finding be formally closed?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When sufficient evidence shows approved remediation addresses the underlying deficiency and risk, operates effectively, and covers the required scope.</t>
  </si>
  <si>
    <t>When sufficient evidence shows approved remediation addresses the underlying deficiency and risk, operates effectively, and covers the required scope.</t>
  </si>
  <si>
    <t>TRC-F01-005</t>
  </si>
  <si>
    <t>What should happen when a remediation action is overdue and risk remains high?
• A) Validate status and blockers, update residual risk, escalate through governance, agree recovery actions, and maintain transparent reporting.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</si>
  <si>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Validate status and blockers, update residual risk, escalate through governance, agree recovery actions, and maintain transparent reporting.</t>
  </si>
  <si>
    <t>TRC-F01-006</t>
  </si>
  <si>
    <t>A compensating control reduces but does not eliminate the risk. How should this be handled?
• A) Rely on a successful demonstration or isolated sample and conclude that the control is effective across all systems, users, periods, and regulatory requirements.
• B) Assess its design, precision, coverage, operation, sustainability, and residual risk, then obtain authorized risk treatment or acceptance.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</si>
  <si>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Assess its design, precision, coverage, operation, sustainability, and residual risk, then obtain authorized risk treatment or acceptance.</t>
  </si>
  <si>
    <t>TRC-F01-007</t>
  </si>
  <si>
    <t>Finding Writing</t>
  </si>
  <si>
    <t>Write a complete finding for excessive privileged access in a critical banking application.</t>
  </si>
  <si>
    <t>Regulatory or control requirement, condition, evidence, population, cause, risk event, business impact, likelihood, severity, recommendation, owner, and timing.</t>
  </si>
  <si>
    <t>TRC-F01-008</t>
  </si>
  <si>
    <t>Remediation Case</t>
  </si>
  <si>
    <t>A control owner proposes training to fix a recurring technical access-control failure. Evaluate the plan.</t>
  </si>
  <si>
    <t>Root cause alignment, technical and process actions, preventive and detective controls, ownership, milestones, testing, sustainability, and closure evidence.</t>
  </si>
  <si>
    <t>TRC-F01-009</t>
  </si>
  <si>
    <t>Closure Review</t>
  </si>
  <si>
    <t>A team submits a new policy and screenshot to close a long-standing vulnerability finding. Determine your response.</t>
  </si>
  <si>
    <t>Assess whether implementation, complete scope, backlog remediation, operation, exception handling, metrics, validation, and sustained effectiveness are evidenced.</t>
  </si>
  <si>
    <t>TRC-F01-010</t>
  </si>
  <si>
    <t>A senior manager disputes a high-risk rating because no incident has occurred. Explain your position.</t>
  </si>
  <si>
    <t>Exposure, credible threat, asset criticality, control weakness, likelihood, impact, near misses, regulatory context, risk method, uncertainty, and calibration.</t>
  </si>
  <si>
    <t>TRC-C01-001</t>
  </si>
  <si>
    <t>Which risk is especially important for critical banking applications?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Loss of availability, integrity, confidentiality, or controlled change that disrupts customer, payment, financial, or regulatory obligations.</t>
  </si>
  <si>
    <t>Loss of availability, integrity, confidentiality, or controlled change that disrupts customer, payment, financial, or regulatory obligations.</t>
  </si>
  <si>
    <t>Banking, Reporting &amp; Client Management — C01</t>
  </si>
  <si>
    <t>Practise banking-risk scenarios, stakeholder interviews, constructive challenge, senior reporting, dashboards, issue escalation, and governance presentations.</t>
  </si>
  <si>
    <t>Banking, Reporting &amp; Client Management</t>
  </si>
  <si>
    <t>TRC-C01-002</t>
  </si>
  <si>
    <t>What makes a technology-risk report useful to senior management?
• A) Clear risk themes, business impact, severity, ownership, ageing, trends, overdue actions, decisions required, and concise supporting evidence.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</si>
  <si>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Clear risk themes, business impact, severity, ownership, ageing, trends, overdue actions, decisions required, and concise supporting evidence.</t>
  </si>
  <si>
    <t>TRC-C01-003</t>
  </si>
  <si>
    <t>A control owner becomes defensive during an interview. What is the best response?
• A) Treat the issue as a documentation improvement only, without assessing technical exposure, business impact, likelihood, ownership, or residual risk.
• B) Clarify the objective, use evidence-based questions, acknowledge operational context, distinguish facts from conclusions, and agree follow-up evidence.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</si>
  <si>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Clarify the objective, use evidence-based questions, acknowledge operational context, distinguish facts from conclusions, and agree follow-up evidence.</t>
  </si>
  <si>
    <t>TRC-C01-004</t>
  </si>
  <si>
    <t>What should a remediation dashboard highlight first?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Critical and high risks, overdue milestones, stalled actions, repeat issues, systemic themes, residual exposure, and decisions requiring escalation.
• D) Treat the issue as a documentation improvement only, without assessing technical exposure, business impact, likelihood, ownership, or residual risk.</t>
  </si>
  <si>
    <t>Critical and high risks, overdue milestones, stalled actions, repeat issues, systemic themes, residual exposure, and decisions requiring escalation.</t>
  </si>
  <si>
    <t>TRC-C01-005</t>
  </si>
  <si>
    <t>How should recurring findings across applications be reported?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Aggregate them into a systemic risk theme while retaining asset-level evidence, ownership, root causes, and remediation accountability.</t>
  </si>
  <si>
    <t>Aggregate them into a systemic risk theme while retaining asset-level evidence, ownership, root causes, and remediation accountability.</t>
  </si>
  <si>
    <t>TRC-C01-006</t>
  </si>
  <si>
    <t>What is the best way to challenge a technically complex control explanation?
• A) Restate the risk objective, trace the process and evidence, test assumptions, ask for demonstrations, and confirm conclusions with the owner.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</si>
  <si>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Restate the risk objective, trace the process and evidence, test assumptions, ask for demonstrations, and confirm conclusions with the owner.</t>
  </si>
  <si>
    <t>TRC-C01-007</t>
  </si>
  <si>
    <t>Client Simulation</t>
  </si>
  <si>
    <t>A CIO says the assessment team is slowing delivery and overstating risk. Respond in a client meeting.</t>
  </si>
  <si>
    <t>Constructive challenge, business context, evidence, risk method, prioritization, practical options, residual risk, decision rights, and relationship management.</t>
  </si>
  <si>
    <t>TRC-C01-008</t>
  </si>
  <si>
    <t>Banking Case</t>
  </si>
  <si>
    <t>Assess technology risk for a major core-banking upgrade with multiple vendors and a fixed regulatory deadline.</t>
  </si>
  <si>
    <t>Governance, architecture, change, testing, data migration, access, resilience, vendors, cutover, rollback, regulatory obligations, readiness, and reporting.</t>
  </si>
  <si>
    <t>TRC-C01-009</t>
  </si>
  <si>
    <t>Reporting Practical</t>
  </si>
  <si>
    <t>Design a monthly technology-risk dashboard for executive and governance forums.</t>
  </si>
  <si>
    <t>Risk profile, severity, domains, trends, overdue actions, ageing, root causes, repeat issues, regulatory gaps, decisions, owners, and concise narrative.</t>
  </si>
  <si>
    <t>TRC-C01-010</t>
  </si>
  <si>
    <t>Describe a difficult technology-risk finding you presented to senior management.</t>
  </si>
  <si>
    <t>Technical credibility, clear risk translation, evidence, challenge, recommendation, management response, escalation, remediation, and outcome.</t>
  </si>
  <si>
    <t>Technology Risk Consultant Assessment</t>
  </si>
  <si>
    <t>SAMA-focused banking technology-risk question bank | 100 questions | Version 1.0</t>
  </si>
  <si>
    <t>Assessment Domain</t>
  </si>
  <si>
    <t>Primary Regulatory Focus</t>
  </si>
  <si>
    <t>SAMA CSF and SAMA ITGF; NCA ECC and Saudi PDPL treated as complementary requirements</t>
  </si>
  <si>
    <t>Assessment Design</t>
  </si>
  <si>
    <t>60 objective questions and 40 scenario, evidence-review, practical, client-facing, and experience questions</t>
  </si>
  <si>
    <t>When mapping a SAMA CSF requirement to NIST CSF 2.0 and ISO/IEC 27001, what is the strongest assessment approach?
• A) Treat a NIST Function or ISO control with similar wording as automatically equivalent, then close the SAMA requirement without checking regulatory scope, mandatory language, implementation evidence, or operating effectiveness
• B) Map the SAMA requirement to related NIST outcomes and ISO requirements or controls, document partial and full coverage, identify differences, and test evidence against the original SAMA obligation
• C) Replace the detailed SAMA assessment with the organization's NIST profile because an outcomes-based framework can be used as direct proof of every Saudi regulatory control and maturity expectation
• D) Accept ISO/IEC 27001 certification as complete evidence of SAMA compliance, without reviewing the certification scope, Statement of Applicability, exclusions, control operation, or bank-specific regulatory requirements</t>
  </si>
  <si>
    <t>Correct answer: B; explain why framework similarity is not regulatory equivalence and how coverage differences should be documented.</t>
  </si>
  <si>
    <t>Map at requirement or outcome level, preserve the original SAMA obligation, document one-to-many or partial relationships, identify gaps, and test actual control design and operation.</t>
  </si>
  <si>
    <t>Assumes certification or high-level framework alignment proves SAMA compliance, ignores scope and exclusions, or forces one-to-one mappings where requirements differ.</t>
  </si>
  <si>
    <t>A Saudi bank is ISO/IEC 27001 certified and uses NIST CSF 2.0 for cybersecurity reporting. What can the Technology Risk Consultant conclude about SAMA CSF compliance?
• A) The bank is automatically compliant because ISO certification and NIST reporting together replace the need for SAMA-specific control testing, maturity assessment, regulatory evidence, and bank-scope validation
• B) The frameworks may provide reusable controls and evidence, but the consultant must still map and test each applicable SAMA requirement, scope difference, maturity expectation, and regulatory gap
• C) Only the NIST Govern Function requires review because the remaining NIST Functions and ISO controls can be assumed to satisfy SAMA operations, technology, and third-party requirements without additional evidence
• D) The certification can be accepted if it covers headquarters, even when critical banking applications, outsourced services, branches, cloud environments, or supporting technology processes are outside its audited scope</t>
  </si>
  <si>
    <t>Correct answer: B; explain the difference between management-system certification, risk-framework outcomes, and SAMA regulatory compliance.</t>
  </si>
  <si>
    <t>ISO certification and NIST alignment may support evidence and control maturity, but neither removes the need for SAMA-specific applicability, mapping, scope, evidence, testing, and gap conclusions.</t>
  </si>
  <si>
    <t>Treats ISO certification or NIST adoption as a substitute for SAMA assessment, ignores certification scope, or fails to test bank-specific controls and regulatory requirements.</t>
  </si>
  <si>
    <t>Build a cross-framework mapping for one control area—such as incident management, privileged access, or third-party risk—across SAMA CSF, NIST CSF 2.0, and ISO/IEC 27001. Explain how you would handle partial coverage, one-to-many mappings, evidence reuse, and remaining regulatory gaps.</t>
  </si>
  <si>
    <t>A traceable crosswalk retaining source requirement IDs and wording, mapped NIST Functions/Categories/Subcategories and ISO requirements or controls, coverage rationale, evidence references, scope, gaps, ownership, and testing conclusions.</t>
  </si>
  <si>
    <t>Produces a superficial keyword match, assumes one-to-one equivalence, loses the original SAMA obligation, or cannot identify partial coverage and additional evidence required.</t>
  </si>
  <si>
    <t>Correct answer: A; explain why mapping supports integrated assurance but does not change the authority or scope of SAMA ITGF.</t>
  </si>
  <si>
    <t>Use NIST and ISO to identify related outcomes, governance processes, and reusable evidence, while testing ITGF's specific governance, risk, operations, change, and maturity requirements directly.</t>
  </si>
  <si>
    <t>Maps ITGF only to technical safeguards, substitutes certification for governance testing, or rejects useful cross-framework traceability and evidence reuse.</t>
  </si>
  <si>
    <t>Correct answer: B; explain the importance of many-to-many mappings, version control, common controls, and retained regulatory traceability.</t>
  </si>
  <si>
    <t>A governed, version-controlled, many-to-many crosswalk with source IDs, mapping rationale, coverage level, common-control links, evidence, gaps, owners, and change review.</t>
  </si>
  <si>
    <t>Uses keyword-only or forced one-to-one mappings, treats mapping as implementation evidence, or creates duplicated assessments without controlled evidence reuse.</t>
  </si>
  <si>
    <t>Design a practical mapping and testing approach for SAMA ITGF requirements using NIST CSF 2.0 and ISO/IEC 27001 as supporting frameworks. Show how you would map governance, IT risk, operations, system change, common controls, evidence, and maturity without weakening the SAMA assessment.</t>
  </si>
  <si>
    <t>A method that preserves ITGF requirement traceability, maps relevant NIST outcomes and ISO ISMS or control elements, identifies common controls, documents partial coverage, tests SAMA-specific operation and maturity, and reports residual gaps.</t>
  </si>
  <si>
    <t>Uses NIST or ISO as a replacement checklist, ignores ITGF maturity and mandatory requirements, or cannot demonstrate how evidence supports each original regulatory obligation.</t>
  </si>
  <si>
    <t>SAMA–NIST–ISO mapping coverage</t>
  </si>
  <si>
    <t>Cross-Framework Coverage</t>
  </si>
  <si>
    <t>SAMA CSF and ITGF mapped to NIST CSF 2.0 and ISO/IEC 27001, with regulatory traceability, partial coverage, evidence reuse, and gap testing</t>
  </si>
  <si>
    <t>How should SAMA ITGF requirements be related to NIST CSF 2.0 and ISO/IEC 27001 during a technology-governance assessment?
• A) Map ITGF governance, risk, operations, and change requirements to relevant NIST outcomes and ISO management-system or control requirements, while retaining ITGF as the authoritative requirement and documenting coverage differences
• B) Map every ITGF requirement only to the NIST Protect Function because IT governance, risk, operations, architecture, change, availability, and project oversight are all technical safeguards rather than governance outcomes
• C) Replace ITGF testing with an ISO/IEC 27001 certificate whenever the certification includes an IT department, without reviewing governance committees, IT strategy, enterprise architecture, operations, change, maturity evidence, control ownership, or decision accountability
• D) Avoid cross-framework mapping because any relationship between regulatory requirements, outcome frameworks, and management-system standards creates duplicate controls and prevents evidence from being reused efficiently</t>
  </si>
  <si>
    <t>What is the best design for a sustainable SAMA–NIST–ISO control crosswalk?
• A) A fixed spreadsheet linking each SAMA requirement to exactly one NIST Function and one ISO control, with no coverage rationale, version ownership, evidence references, or process for framework updates
• B) A version-controlled many-to-many mapping that retains source identifiers, describes coverage and gaps, links common controls and evidence, identifies owners, and is reviewed when regulations, standards, or systems change
• C) A list of common cybersecurity terms showing that the frameworks discuss similar topics, used as sufficient evidence that all regulatory requirements are implemented and operating effectively across the bank, its critical applications, infrastructure, cloud services, and outsourced technology processes
• D) Separate assessments with no shared control library or evidence references, requiring each team to request identical documents and samples even when the underlying control and scope are demonstrably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</si>
</sst>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1"/>
      <color rgb="FFFFFFFF"/>
      <name val="Aptos Display"/>
      <family val="2"/>
    </font>
    <font>
      <sz val="10"/>
      <color rgb="FF000000"/>
      <name val="Aptos"/>
      <family val="2"/>
    </font>
    <font>
      <b/>
      <sz val="10"/>
      <color rgb="FF5F497A"/>
      <name val="Aptos"/>
      <family val="2"/>
    </font>
    <font>
      <sz val="10"/>
      <name val="Aptos"/>
      <family val="2"/>
    </font>
    <font>
      <b/>
      <sz val="10"/>
      <color rgb="FF1F4E78"/>
      <name val="Aptos"/>
      <family val="2"/>
    </font>
    <font>
      <b/>
      <sz val="10"/>
      <color rgb="FF7F6000"/>
      <name val="Aptos"/>
      <family val="2"/>
    </font>
    <font>
      <b/>
      <sz val="10"/>
      <color rgb="FF375623"/>
      <name val="Aptos"/>
      <family val="2"/>
    </font>
    <font>
      <b/>
      <sz val="11"/>
      <color rgb="FFFFFFFF"/>
      <name val="Carlito"/>
    </font>
    <font>
      <b/>
      <sz val="11"/>
      <name val="Carlito"/>
    </font>
    <font>
      <b/>
      <sz val="11"/>
      <color rgb="FF008000"/>
      <name val="Carlito"/>
    </font>
    <font>
      <b/>
      <sz val="14"/>
      <color rgb="FFFFFFFF"/>
      <name val="Carlito"/>
    </font>
    <font>
      <b/>
      <sz val="11"/>
      <color rgb="FF000000"/>
      <name val="Carlito"/>
    </font>
  </fonts>
  <fills count="11">
    <fill>
      <patternFill patternType="none"/>
    </fill>
    <fill>
      <patternFill patternType="gray125"/>
    </fill>
    <fill>
      <patternFill patternType="solid">
        <fgColor rgb="FF1F4E78"/>
        <bgColor indexed="64"/>
      </patternFill>
    </fill>
    <fill>
      <patternFill patternType="solid">
        <fgColor rgb="FFE4DFEC"/>
        <bgColor indexed="64"/>
      </patternFill>
    </fill>
    <fill>
      <patternFill patternType="solid">
        <fgColor rgb="FFD9EAF7"/>
        <bgColor indexed="64"/>
      </patternFill>
    </fill>
    <fill>
      <patternFill patternType="solid">
        <fgColor rgb="FFFCE4C3"/>
        <bgColor indexed="64"/>
      </patternFill>
    </fill>
    <fill>
      <patternFill patternType="solid">
        <fgColor rgb="FFE2F0D9"/>
        <bgColor indexed="64"/>
      </patternFill>
    </fill>
    <fill>
      <patternFill patternType="solid">
        <fgColor rgb="FF1D2330"/>
        <bgColor indexed="64"/>
      </patternFill>
    </fill>
    <fill>
      <patternFill patternType="solid">
        <fgColor rgb="FFE2E3E5"/>
        <bgColor indexed="64"/>
      </patternFill>
    </fill>
    <fill>
      <patternFill patternType="solid">
        <fgColor rgb="FF2F75B5"/>
        <bgColor indexed="64"/>
      </patternFill>
    </fill>
    <fill>
      <patternFill patternType="solid">
        <fgColor rgb="FFFFFFFF"/>
        <bgColor indexed="64"/>
      </patternFill>
    </fill>
  </fills>
  <borders count="9">
    <border>
      <left/>
      <right/>
      <top/>
      <bottom/>
      <diagonal/>
    </border>
    <border>
      <left/>
      <right/>
      <top style="medium">
        <color rgb="FF4472C4"/>
      </top>
      <bottom/>
      <diagonal/>
    </border>
    <border>
      <left/>
      <right/>
      <top style="medium">
        <color rgb="FF4472C4"/>
      </top>
      <bottom style="medium">
        <color rgb="FF4472C4"/>
      </bottom>
      <diagonal/>
    </border>
    <border>
      <left/>
      <right/>
      <top/>
      <bottom style="thick">
        <color rgb="FF1D2330"/>
      </bottom>
      <diagonal/>
    </border>
    <border>
      <left style="medium">
        <color rgb="FF008000"/>
      </left>
      <right style="medium">
        <color rgb="FF008000"/>
      </right>
      <top style="medium">
        <color rgb="FF1D2330"/>
      </top>
      <bottom style="medium">
        <color rgb="FF008000"/>
      </bottom>
      <diagonal/>
    </border>
    <border>
      <left/>
      <right/>
      <top/>
      <bottom style="thick">
        <color rgb="FF2F75B5"/>
      </bottom>
      <diagonal/>
    </border>
    <border>
      <left/>
      <right/>
      <top/>
      <bottom style="medium">
        <color rgb="FF1D2330"/>
      </bottom>
      <diagonal/>
    </border>
    <border>
      <left/>
      <right/>
      <top/>
      <bottom style="medium">
        <color rgb="FF000000"/>
      </bottom>
      <diagonal/>
    </border>
    <border>
      <left/>
      <right/>
      <top/>
      <bottom style="thin">
        <color rgb="FF808080"/>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8" fillId="7" borderId="3" xfId="0" applyFont="1" applyFill="1" applyBorder="1" applyAlignment="1">
      <alignment horizontal="left"/>
    </xf>
    <xf numFmtId="0" fontId="9" fillId="8" borderId="0" xfId="0" applyFont="1" applyFill="1" applyAlignment="1">
      <alignment horizontal="left"/>
    </xf>
    <xf numFmtId="0" fontId="8" fillId="7" borderId="0" xfId="0" applyFont="1" applyFill="1" applyAlignment="1">
      <alignment horizontal="center"/>
    </xf>
    <xf numFmtId="0" fontId="10" fillId="0" borderId="4" xfId="0" applyFont="1" applyBorder="1" applyAlignment="1">
      <alignment horizontal="center"/>
    </xf>
    <xf numFmtId="0" fontId="2" fillId="0" borderId="1" xfId="0" applyFont="1" applyBorder="1" applyAlignment="1">
      <alignment horizontal="center" vertical="top" wrapText="1"/>
    </xf>
    <xf numFmtId="0" fontId="3" fillId="3" borderId="1" xfId="0" applyFont="1" applyFill="1" applyBorder="1" applyAlignment="1">
      <alignment horizontal="center" vertical="center" wrapText="1"/>
    </xf>
    <xf numFmtId="0" fontId="2" fillId="0" borderId="0" xfId="0" applyFont="1" applyAlignment="1">
      <alignment horizontal="center" vertical="top" wrapText="1"/>
    </xf>
    <xf numFmtId="0" fontId="3"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4"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7" fillId="4"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0" xfId="0" applyFont="1" applyFill="1" applyAlignment="1">
      <alignment horizontal="center" vertical="top" wrapText="1"/>
    </xf>
    <xf numFmtId="0" fontId="3" fillId="5" borderId="1" xfId="0" applyFont="1" applyFill="1" applyBorder="1" applyAlignment="1">
      <alignment horizontal="center" vertical="top" wrapText="1"/>
    </xf>
    <xf numFmtId="0" fontId="3" fillId="5" borderId="0" xfId="0" applyFont="1" applyFill="1" applyAlignment="1">
      <alignment horizontal="center" vertical="top" wrapText="1"/>
    </xf>
    <xf numFmtId="0" fontId="3" fillId="6" borderId="1" xfId="0" applyFont="1" applyFill="1" applyBorder="1" applyAlignment="1">
      <alignment horizontal="center" vertical="top" wrapText="1"/>
    </xf>
    <xf numFmtId="0" fontId="3" fillId="6" borderId="0" xfId="0" applyFont="1" applyFill="1" applyAlignment="1">
      <alignment horizontal="center" vertical="top" wrapText="1"/>
    </xf>
    <xf numFmtId="0" fontId="2" fillId="0" borderId="2" xfId="0" applyFont="1" applyBorder="1" applyAlignment="1">
      <alignment horizontal="center" vertical="top" wrapText="1"/>
    </xf>
    <xf numFmtId="0" fontId="3" fillId="3" borderId="2" xfId="0" applyFont="1" applyFill="1" applyBorder="1" applyAlignment="1">
      <alignment horizontal="center" vertical="top" wrapText="1"/>
    </xf>
    <xf numFmtId="0" fontId="3" fillId="3" borderId="0" xfId="0" applyFont="1" applyFill="1" applyAlignment="1">
      <alignment horizontal="center" vertical="top" wrapText="1"/>
    </xf>
    <xf numFmtId="0" fontId="0" fillId="0" borderId="0" xfId="0" applyAlignment="1">
      <alignment wrapText="1"/>
    </xf>
    <xf numFmtId="0" fontId="11" fillId="7" borderId="5" xfId="0" applyNumberFormat="1" applyFont="1" applyFill="1" applyBorder="1" applyAlignment="1">
      <alignment horizontal="left"/>
    </xf>
    <xf numFmtId="0" fontId="8" fillId="9" borderId="6" xfId="0" applyNumberFormat="1" applyFont="1" applyFill="1" applyBorder="1" applyAlignment="1">
      <alignment horizontal="center"/>
    </xf>
    <xf numFmtId="1" fontId="12" fillId="10" borderId="7" xfId="0" applyNumberFormat="1" applyFont="1" applyFill="1" applyBorder="1" applyAlignment="1">
      <alignment horizontal="right"/>
    </xf>
    <xf numFmtId="0" fontId="12" fillId="8" borderId="8" xfId="0" applyNumberFormat="1" applyFont="1" applyFill="1" applyBorder="1" applyAlignment="1">
      <alignment horizontal="left"/>
    </xf>
  </cellXfs>
  <cellStyles count="1">
    <cellStyle name="Normal" xfId="0" builtinId="0"/>
  </cellStyles>
  <dxfs count="19">
    <dxf>
      <font>
        <b/>
        <i val="0"/>
        <strike val="0"/>
        <condense val="0"/>
        <extend val="0"/>
        <outline val="0"/>
        <shadow val="0"/>
        <u val="none"/>
        <vertAlign val="baseline"/>
        <sz val="11"/>
        <color rgb="FFFFFFFF"/>
        <name val="Aptos Display"/>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rgb="FF1F4E78"/>
        <name val="Aptos"/>
        <family val="2"/>
        <scheme val="none"/>
      </font>
      <fill>
        <patternFill patternType="solid">
          <fgColor indexed="64"/>
          <bgColor rgb="FFD9EAF7"/>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DB35D2-EED3-46A4-A225-923E7A0F6D9B}" name="TechnologyRiskQuestionBank" displayName="TechnologyRiskQuestionBank" ref="A1:Q101" totalsRowShown="0" headerRowDxfId="0" dataDxfId="1">
  <autoFilter ref="A1:Q101" xr:uid="{86DB35D2-EED3-46A4-A225-923E7A0F6D9B}"/>
  <tableColumns count="17">
    <tableColumn id="1" xr3:uid="{8D237177-CEC0-48D5-8610-8BCF21494036}" name="Question ID" dataDxfId="18"/>
    <tableColumn id="2" xr3:uid="{EA152682-BB52-4882-893F-969FB92E8627}" name="Module ID" dataDxfId="17"/>
    <tableColumn id="3" xr3:uid="{6DAD981E-7C2B-4E99-ACA5-C0C323785CE0}" name="Type" dataDxfId="16"/>
    <tableColumn id="4" xr3:uid="{B21623C0-7385-4817-9CFE-5277A32F5211}" name="Difficulty 1-5" dataDxfId="15"/>
    <tableColumn id="5" xr3:uid="{CE4EBF71-4676-4999-880C-26B001AE8AD0}" name="Technology Risk Assessment Question" dataDxfId="14"/>
    <tableColumn id="6" xr3:uid="{56955863-BA37-4615-BC04-F9BD7707998E}" name="Follow-up Probes" dataDxfId="13"/>
    <tableColumn id="7" xr3:uid="{BEF22AB9-9B0F-4718-8EE6-C063B364FCDB}" name="Expected Evidence (JD-aligned)" dataDxfId="12"/>
    <tableColumn id="8" xr3:uid="{9DEA9EC5-302E-4039-A22E-589F4CBE99F0}" name="Red Flags" dataDxfId="11"/>
    <tableColumn id="9" xr3:uid="{B423F7AE-9655-4B49-ACD6-801E7F25EBA8}" name="Gap Tag" dataDxfId="10"/>
    <tableColumn id="10" xr3:uid="{3F0DFC92-D77E-4657-91AE-44B46504B6AD}" name="Enrichment Prescription" dataDxfId="9"/>
    <tableColumn id="11" xr3:uid="{CD2C9972-FBE9-4F69-B6BA-21D75571FB88}" name="Suggested Minutes" dataDxfId="8"/>
    <tableColumn id="12" xr3:uid="{FB64ADDA-DDF6-437C-BE79-9373AF2A9AA8}" name="Status" dataDxfId="7"/>
    <tableColumn id="13" xr3:uid="{99491BAB-7FBE-47C2-A609-9C5B83F7D3DC}" name="Version" dataDxfId="6"/>
    <tableColumn id="14" xr3:uid="{52019D9D-D566-49DE-B195-B7F8C0668520}" name="Question Family" dataDxfId="5"/>
    <tableColumn id="15" xr3:uid="{0BD251D8-5967-490D-BACC-46D11E2F2B9F}" name="Difficulty Band" dataDxfId="4"/>
    <tableColumn id="16" xr3:uid="{E4ADFC28-F96E-4A89-837D-5464DC3FE9E8}" name="Assessment Mode" dataDxfId="3"/>
    <tableColumn id="17" xr3:uid="{A61DEE72-77EE-4FA8-B637-D4E6D316EC63}" name="Randomization Eligible"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61380B-E051-4A66-958F-BABE38A930D2}">
  <we:reference id="WA200010215" version="2.0.0.0" store="Omex" storeType="OMEX"/>
  <we:alternateReferences>
    <we:reference id="WA200010215" version="2.0.0.0" store="WA200010215" storeType="OMEX"/>
  </we:alternateReferences>
  <we:properties>
    <we:property name="bps.codex_control.document_id" value="&quot;241755d1-906a-4823-8c65-db161f79591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E161-29F2-44A2-9CC0-C25A71B8825B}">
  <dimension ref="A1:Q349"/>
  <sheetViews>
    <sheetView showGridLines="0" tabSelected="1" zoomScale="80" zoomScaleNormal="80" workbookViewId="0">
      <pane xSplit="4" ySplit="1" topLeftCell="E7" activePane="bottomRight" state="frozen"/>
      <selection pane="topRight" activeCell="E1" sqref="E1"/>
      <selection pane="bottomLeft" activeCell="A2" sqref="A2"/>
      <selection pane="bottomRight" activeCell="E10" sqref="E10"/>
    </sheetView>
  </sheetViews>
  <sheetFormatPr defaultRowHeight="14"/>
  <cols>
    <col min="1" max="4" width="15.83203125" style="34" customWidth="1"/>
    <col min="5" max="10" width="43.33203125" style="34" customWidth="1"/>
    <col min="11" max="16" width="19.1640625" style="34" customWidth="1"/>
    <col min="17" max="17" width="20.75" style="34" customWidth="1"/>
  </cols>
  <sheetData>
    <row r="1" spans="1:17" ht="15" thickBot="1">
      <c r="A1" s="1" t="s">
        <v>0</v>
      </c>
      <c r="B1" s="1" t="s">
        <v>1</v>
      </c>
      <c r="C1" s="1" t="s">
        <v>2</v>
      </c>
      <c r="D1" s="1" t="s">
        <v>3</v>
      </c>
      <c r="E1" s="1" t="s">
        <v>44</v>
      </c>
      <c r="F1" s="1" t="s">
        <v>4</v>
      </c>
      <c r="G1" s="1" t="s">
        <v>32</v>
      </c>
      <c r="H1" s="1" t="s">
        <v>5</v>
      </c>
      <c r="I1" s="1" t="s">
        <v>6</v>
      </c>
      <c r="J1" s="1" t="s">
        <v>7</v>
      </c>
      <c r="K1" s="1" t="s">
        <v>8</v>
      </c>
      <c r="L1" s="1" t="s">
        <v>9</v>
      </c>
      <c r="M1" s="1" t="s">
        <v>10</v>
      </c>
      <c r="N1" s="1" t="s">
        <v>11</v>
      </c>
      <c r="O1" s="1" t="s">
        <v>12</v>
      </c>
      <c r="P1" s="1" t="s">
        <v>13</v>
      </c>
      <c r="Q1" s="1" t="s">
        <v>14</v>
      </c>
    </row>
    <row r="2" spans="1:17" ht="195">
      <c r="A2" s="12" t="s">
        <v>45</v>
      </c>
      <c r="B2" s="13" t="s">
        <v>34</v>
      </c>
      <c r="C2" s="3" t="s">
        <v>21</v>
      </c>
      <c r="D2" s="3">
        <v>5</v>
      </c>
      <c r="E2" s="2" t="s">
        <v>46</v>
      </c>
      <c r="F2" s="2" t="s">
        <v>47</v>
      </c>
      <c r="G2" s="2" t="s">
        <v>48</v>
      </c>
      <c r="H2" s="2" t="s">
        <v>49</v>
      </c>
      <c r="I2" s="2" t="s">
        <v>50</v>
      </c>
      <c r="J2" s="2" t="s">
        <v>51</v>
      </c>
      <c r="K2" s="3">
        <v>2</v>
      </c>
      <c r="L2" s="3" t="s">
        <v>16</v>
      </c>
      <c r="M2" s="3">
        <v>1</v>
      </c>
      <c r="N2" s="2" t="s">
        <v>52</v>
      </c>
      <c r="O2" s="3" t="s">
        <v>22</v>
      </c>
      <c r="P2" s="3" t="s">
        <v>23</v>
      </c>
      <c r="Q2" s="3" t="s">
        <v>19</v>
      </c>
    </row>
    <row r="3" spans="1:17" ht="208">
      <c r="A3" s="14" t="s">
        <v>53</v>
      </c>
      <c r="B3" s="15" t="s">
        <v>34</v>
      </c>
      <c r="C3" s="5" t="s">
        <v>21</v>
      </c>
      <c r="D3" s="5">
        <v>4</v>
      </c>
      <c r="E3" s="4" t="s">
        <v>54</v>
      </c>
      <c r="F3" s="4" t="s">
        <v>55</v>
      </c>
      <c r="G3" s="4" t="s">
        <v>56</v>
      </c>
      <c r="H3" s="4" t="s">
        <v>49</v>
      </c>
      <c r="I3" s="4" t="s">
        <v>50</v>
      </c>
      <c r="J3" s="4" t="s">
        <v>51</v>
      </c>
      <c r="K3" s="5">
        <v>2</v>
      </c>
      <c r="L3" s="5" t="s">
        <v>16</v>
      </c>
      <c r="M3" s="5">
        <v>1</v>
      </c>
      <c r="N3" s="4" t="s">
        <v>52</v>
      </c>
      <c r="O3" s="5" t="s">
        <v>17</v>
      </c>
      <c r="P3" s="5" t="s">
        <v>23</v>
      </c>
      <c r="Q3" s="5" t="s">
        <v>19</v>
      </c>
    </row>
    <row r="4" spans="1:17" ht="195">
      <c r="A4" s="14" t="s">
        <v>57</v>
      </c>
      <c r="B4" s="15" t="s">
        <v>34</v>
      </c>
      <c r="C4" s="5" t="s">
        <v>21</v>
      </c>
      <c r="D4" s="5">
        <v>4</v>
      </c>
      <c r="E4" s="4" t="s">
        <v>58</v>
      </c>
      <c r="F4" s="4" t="s">
        <v>59</v>
      </c>
      <c r="G4" s="4" t="s">
        <v>60</v>
      </c>
      <c r="H4" s="4" t="s">
        <v>49</v>
      </c>
      <c r="I4" s="4" t="s">
        <v>50</v>
      </c>
      <c r="J4" s="4" t="s">
        <v>51</v>
      </c>
      <c r="K4" s="5">
        <v>2</v>
      </c>
      <c r="L4" s="5" t="s">
        <v>16</v>
      </c>
      <c r="M4" s="5">
        <v>1</v>
      </c>
      <c r="N4" s="4" t="s">
        <v>52</v>
      </c>
      <c r="O4" s="5" t="s">
        <v>17</v>
      </c>
      <c r="P4" s="5" t="s">
        <v>23</v>
      </c>
      <c r="Q4" s="5" t="s">
        <v>19</v>
      </c>
    </row>
    <row r="5" spans="1:17" ht="195.5" thickBot="1">
      <c r="A5" s="14" t="s">
        <v>61</v>
      </c>
      <c r="B5" s="15" t="s">
        <v>34</v>
      </c>
      <c r="C5" s="5" t="s">
        <v>21</v>
      </c>
      <c r="D5" s="5">
        <v>5</v>
      </c>
      <c r="E5" s="4" t="s">
        <v>62</v>
      </c>
      <c r="F5" s="4" t="s">
        <v>63</v>
      </c>
      <c r="G5" s="4" t="s">
        <v>64</v>
      </c>
      <c r="H5" s="4" t="s">
        <v>49</v>
      </c>
      <c r="I5" s="4" t="s">
        <v>50</v>
      </c>
      <c r="J5" s="4" t="s">
        <v>51</v>
      </c>
      <c r="K5" s="5">
        <v>2</v>
      </c>
      <c r="L5" s="5" t="s">
        <v>16</v>
      </c>
      <c r="M5" s="5">
        <v>1</v>
      </c>
      <c r="N5" s="4" t="s">
        <v>52</v>
      </c>
      <c r="O5" s="5" t="s">
        <v>22</v>
      </c>
      <c r="P5" s="5" t="s">
        <v>23</v>
      </c>
      <c r="Q5" s="5" t="s">
        <v>19</v>
      </c>
    </row>
    <row r="6" spans="1:17" ht="273">
      <c r="A6" s="12" t="s">
        <v>65</v>
      </c>
      <c r="B6" s="16" t="s">
        <v>34</v>
      </c>
      <c r="C6" s="3" t="s">
        <v>21</v>
      </c>
      <c r="D6" s="3">
        <v>4</v>
      </c>
      <c r="E6" s="2" t="s">
        <v>397</v>
      </c>
      <c r="F6" s="2" t="s">
        <v>398</v>
      </c>
      <c r="G6" s="2" t="s">
        <v>399</v>
      </c>
      <c r="H6" s="2" t="s">
        <v>400</v>
      </c>
      <c r="I6" s="2" t="s">
        <v>50</v>
      </c>
      <c r="J6" s="2" t="s">
        <v>51</v>
      </c>
      <c r="K6" s="3">
        <v>2</v>
      </c>
      <c r="L6" s="3" t="s">
        <v>16</v>
      </c>
      <c r="M6" s="3">
        <v>1</v>
      </c>
      <c r="N6" s="2" t="s">
        <v>52</v>
      </c>
      <c r="O6" s="3" t="s">
        <v>17</v>
      </c>
      <c r="P6" s="3" t="s">
        <v>23</v>
      </c>
      <c r="Q6" s="3" t="s">
        <v>19</v>
      </c>
    </row>
    <row r="7" spans="1:17" ht="273">
      <c r="A7" s="14" t="s">
        <v>66</v>
      </c>
      <c r="B7" s="17" t="s">
        <v>34</v>
      </c>
      <c r="C7" s="5" t="s">
        <v>21</v>
      </c>
      <c r="D7" s="5">
        <v>4</v>
      </c>
      <c r="E7" s="4" t="s">
        <v>401</v>
      </c>
      <c r="F7" s="4" t="s">
        <v>402</v>
      </c>
      <c r="G7" s="4" t="s">
        <v>403</v>
      </c>
      <c r="H7" s="4" t="s">
        <v>404</v>
      </c>
      <c r="I7" s="4" t="s">
        <v>50</v>
      </c>
      <c r="J7" s="4" t="s">
        <v>51</v>
      </c>
      <c r="K7" s="5">
        <v>2</v>
      </c>
      <c r="L7" s="5" t="s">
        <v>16</v>
      </c>
      <c r="M7" s="5">
        <v>1</v>
      </c>
      <c r="N7" s="4" t="s">
        <v>52</v>
      </c>
      <c r="O7" s="5" t="s">
        <v>17</v>
      </c>
      <c r="P7" s="5" t="s">
        <v>23</v>
      </c>
      <c r="Q7" s="5" t="s">
        <v>19</v>
      </c>
    </row>
    <row r="8" spans="1:17" ht="52">
      <c r="A8" s="14" t="s">
        <v>67</v>
      </c>
      <c r="B8" s="17" t="s">
        <v>34</v>
      </c>
      <c r="C8" s="5" t="s">
        <v>68</v>
      </c>
      <c r="D8" s="5">
        <v>5</v>
      </c>
      <c r="E8" s="4" t="s">
        <v>69</v>
      </c>
      <c r="F8" s="4" t="s">
        <v>70</v>
      </c>
      <c r="G8" s="4" t="s">
        <v>71</v>
      </c>
      <c r="H8" s="4" t="s">
        <v>72</v>
      </c>
      <c r="I8" s="4" t="s">
        <v>50</v>
      </c>
      <c r="J8" s="4" t="s">
        <v>51</v>
      </c>
      <c r="K8" s="5">
        <v>9</v>
      </c>
      <c r="L8" s="5" t="s">
        <v>16</v>
      </c>
      <c r="M8" s="5">
        <v>1</v>
      </c>
      <c r="N8" s="4" t="s">
        <v>52</v>
      </c>
      <c r="O8" s="5" t="s">
        <v>22</v>
      </c>
      <c r="P8" s="5" t="s">
        <v>20</v>
      </c>
      <c r="Q8" s="5" t="s">
        <v>19</v>
      </c>
    </row>
    <row r="9" spans="1:17" ht="52">
      <c r="A9" s="14" t="s">
        <v>73</v>
      </c>
      <c r="B9" s="17" t="s">
        <v>34</v>
      </c>
      <c r="C9" s="5" t="s">
        <v>74</v>
      </c>
      <c r="D9" s="5">
        <v>4</v>
      </c>
      <c r="E9" s="4" t="s">
        <v>75</v>
      </c>
      <c r="F9" s="4" t="s">
        <v>70</v>
      </c>
      <c r="G9" s="4" t="s">
        <v>76</v>
      </c>
      <c r="H9" s="4" t="s">
        <v>72</v>
      </c>
      <c r="I9" s="4" t="s">
        <v>50</v>
      </c>
      <c r="J9" s="4" t="s">
        <v>51</v>
      </c>
      <c r="K9" s="5">
        <v>7</v>
      </c>
      <c r="L9" s="5" t="s">
        <v>16</v>
      </c>
      <c r="M9" s="5">
        <v>1</v>
      </c>
      <c r="N9" s="4" t="s">
        <v>52</v>
      </c>
      <c r="O9" s="5" t="s">
        <v>17</v>
      </c>
      <c r="P9" s="5" t="s">
        <v>20</v>
      </c>
      <c r="Q9" s="5" t="s">
        <v>19</v>
      </c>
    </row>
    <row r="10" spans="1:17" ht="78">
      <c r="A10" s="14" t="s">
        <v>77</v>
      </c>
      <c r="B10" s="17" t="s">
        <v>34</v>
      </c>
      <c r="C10" s="5" t="s">
        <v>26</v>
      </c>
      <c r="D10" s="5">
        <v>4</v>
      </c>
      <c r="E10" s="4" t="s">
        <v>405</v>
      </c>
      <c r="F10" s="4" t="s">
        <v>70</v>
      </c>
      <c r="G10" s="4" t="s">
        <v>406</v>
      </c>
      <c r="H10" s="4" t="s">
        <v>407</v>
      </c>
      <c r="I10" s="4" t="s">
        <v>50</v>
      </c>
      <c r="J10" s="4" t="s">
        <v>51</v>
      </c>
      <c r="K10" s="5">
        <v>7</v>
      </c>
      <c r="L10" s="5" t="s">
        <v>16</v>
      </c>
      <c r="M10" s="5">
        <v>1</v>
      </c>
      <c r="N10" s="4" t="s">
        <v>52</v>
      </c>
      <c r="O10" s="5" t="s">
        <v>17</v>
      </c>
      <c r="P10" s="5" t="s">
        <v>20</v>
      </c>
      <c r="Q10" s="5" t="s">
        <v>19</v>
      </c>
    </row>
    <row r="11" spans="1:17" ht="52">
      <c r="A11" s="14" t="s">
        <v>78</v>
      </c>
      <c r="B11" s="17" t="s">
        <v>34</v>
      </c>
      <c r="C11" s="5" t="s">
        <v>29</v>
      </c>
      <c r="D11" s="5">
        <v>4</v>
      </c>
      <c r="E11" s="4" t="s">
        <v>79</v>
      </c>
      <c r="F11" s="4" t="s">
        <v>70</v>
      </c>
      <c r="G11" s="4" t="s">
        <v>80</v>
      </c>
      <c r="H11" s="4" t="s">
        <v>72</v>
      </c>
      <c r="I11" s="4" t="s">
        <v>50</v>
      </c>
      <c r="J11" s="4" t="s">
        <v>51</v>
      </c>
      <c r="K11" s="5">
        <v>7</v>
      </c>
      <c r="L11" s="5" t="s">
        <v>16</v>
      </c>
      <c r="M11" s="5">
        <v>1</v>
      </c>
      <c r="N11" s="4" t="s">
        <v>52</v>
      </c>
      <c r="O11" s="5" t="s">
        <v>17</v>
      </c>
      <c r="P11" s="5" t="s">
        <v>18</v>
      </c>
      <c r="Q11" s="5" t="s">
        <v>19</v>
      </c>
    </row>
    <row r="12" spans="1:17" ht="195">
      <c r="A12" s="14" t="s">
        <v>81</v>
      </c>
      <c r="B12" s="17" t="s">
        <v>82</v>
      </c>
      <c r="C12" s="5" t="s">
        <v>21</v>
      </c>
      <c r="D12" s="5">
        <v>5</v>
      </c>
      <c r="E12" s="4" t="s">
        <v>83</v>
      </c>
      <c r="F12" s="4" t="s">
        <v>63</v>
      </c>
      <c r="G12" s="4" t="s">
        <v>84</v>
      </c>
      <c r="H12" s="4" t="s">
        <v>49</v>
      </c>
      <c r="I12" s="4" t="s">
        <v>85</v>
      </c>
      <c r="J12" s="4" t="s">
        <v>86</v>
      </c>
      <c r="K12" s="5">
        <v>2</v>
      </c>
      <c r="L12" s="5" t="s">
        <v>16</v>
      </c>
      <c r="M12" s="5">
        <v>1</v>
      </c>
      <c r="N12" s="4" t="s">
        <v>87</v>
      </c>
      <c r="O12" s="5" t="s">
        <v>22</v>
      </c>
      <c r="P12" s="5" t="s">
        <v>23</v>
      </c>
      <c r="Q12" s="5" t="s">
        <v>19</v>
      </c>
    </row>
    <row r="13" spans="1:17" ht="208">
      <c r="A13" s="14" t="s">
        <v>88</v>
      </c>
      <c r="B13" s="17" t="s">
        <v>82</v>
      </c>
      <c r="C13" s="5" t="s">
        <v>21</v>
      </c>
      <c r="D13" s="5">
        <v>4</v>
      </c>
      <c r="E13" s="4" t="s">
        <v>89</v>
      </c>
      <c r="F13" s="4" t="s">
        <v>47</v>
      </c>
      <c r="G13" s="4" t="s">
        <v>90</v>
      </c>
      <c r="H13" s="4" t="s">
        <v>49</v>
      </c>
      <c r="I13" s="4" t="s">
        <v>85</v>
      </c>
      <c r="J13" s="4" t="s">
        <v>86</v>
      </c>
      <c r="K13" s="5">
        <v>2</v>
      </c>
      <c r="L13" s="5" t="s">
        <v>16</v>
      </c>
      <c r="M13" s="5">
        <v>1</v>
      </c>
      <c r="N13" s="4" t="s">
        <v>87</v>
      </c>
      <c r="O13" s="5" t="s">
        <v>17</v>
      </c>
      <c r="P13" s="5" t="s">
        <v>23</v>
      </c>
      <c r="Q13" s="5" t="s">
        <v>19</v>
      </c>
    </row>
    <row r="14" spans="1:17" ht="182.5" thickBot="1">
      <c r="A14" s="14" t="s">
        <v>91</v>
      </c>
      <c r="B14" s="17" t="s">
        <v>82</v>
      </c>
      <c r="C14" s="5" t="s">
        <v>21</v>
      </c>
      <c r="D14" s="5">
        <v>4</v>
      </c>
      <c r="E14" s="4" t="s">
        <v>92</v>
      </c>
      <c r="F14" s="4" t="s">
        <v>55</v>
      </c>
      <c r="G14" s="4" t="s">
        <v>93</v>
      </c>
      <c r="H14" s="4" t="s">
        <v>49</v>
      </c>
      <c r="I14" s="4" t="s">
        <v>85</v>
      </c>
      <c r="J14" s="4" t="s">
        <v>86</v>
      </c>
      <c r="K14" s="5">
        <v>2</v>
      </c>
      <c r="L14" s="5" t="s">
        <v>16</v>
      </c>
      <c r="M14" s="5">
        <v>1</v>
      </c>
      <c r="N14" s="4" t="s">
        <v>87</v>
      </c>
      <c r="O14" s="5" t="s">
        <v>17</v>
      </c>
      <c r="P14" s="5" t="s">
        <v>23</v>
      </c>
      <c r="Q14" s="5" t="s">
        <v>19</v>
      </c>
    </row>
    <row r="15" spans="1:17" ht="208.5" thickBot="1">
      <c r="A15" s="12" t="s">
        <v>94</v>
      </c>
      <c r="B15" s="16" t="s">
        <v>82</v>
      </c>
      <c r="C15" s="3" t="s">
        <v>21</v>
      </c>
      <c r="D15" s="3">
        <v>5</v>
      </c>
      <c r="E15" s="2" t="s">
        <v>95</v>
      </c>
      <c r="F15" s="2" t="s">
        <v>59</v>
      </c>
      <c r="G15" s="2" t="s">
        <v>96</v>
      </c>
      <c r="H15" s="2" t="s">
        <v>49</v>
      </c>
      <c r="I15" s="2" t="s">
        <v>85</v>
      </c>
      <c r="J15" s="2" t="s">
        <v>86</v>
      </c>
      <c r="K15" s="3">
        <v>2</v>
      </c>
      <c r="L15" s="3" t="s">
        <v>16</v>
      </c>
      <c r="M15" s="3">
        <v>1</v>
      </c>
      <c r="N15" s="2" t="s">
        <v>87</v>
      </c>
      <c r="O15" s="3" t="s">
        <v>22</v>
      </c>
      <c r="P15" s="3" t="s">
        <v>23</v>
      </c>
      <c r="Q15" s="3" t="s">
        <v>19</v>
      </c>
    </row>
    <row r="16" spans="1:17" ht="312">
      <c r="A16" s="12" t="s">
        <v>97</v>
      </c>
      <c r="B16" s="18" t="s">
        <v>82</v>
      </c>
      <c r="C16" s="3" t="s">
        <v>21</v>
      </c>
      <c r="D16" s="3">
        <v>4</v>
      </c>
      <c r="E16" s="2" t="s">
        <v>420</v>
      </c>
      <c r="F16" s="2" t="s">
        <v>408</v>
      </c>
      <c r="G16" s="2" t="s">
        <v>409</v>
      </c>
      <c r="H16" s="2" t="s">
        <v>410</v>
      </c>
      <c r="I16" s="2" t="s">
        <v>85</v>
      </c>
      <c r="J16" s="2" t="s">
        <v>86</v>
      </c>
      <c r="K16" s="3">
        <v>2</v>
      </c>
      <c r="L16" s="3" t="s">
        <v>16</v>
      </c>
      <c r="M16" s="3">
        <v>1</v>
      </c>
      <c r="N16" s="2" t="s">
        <v>87</v>
      </c>
      <c r="O16" s="3" t="s">
        <v>17</v>
      </c>
      <c r="P16" s="3" t="s">
        <v>23</v>
      </c>
      <c r="Q16" s="3" t="s">
        <v>19</v>
      </c>
    </row>
    <row r="17" spans="1:17" ht="273">
      <c r="A17" s="14" t="s">
        <v>98</v>
      </c>
      <c r="B17" s="19" t="s">
        <v>82</v>
      </c>
      <c r="C17" s="5" t="s">
        <v>21</v>
      </c>
      <c r="D17" s="5">
        <v>4</v>
      </c>
      <c r="E17" s="4" t="s">
        <v>421</v>
      </c>
      <c r="F17" s="4" t="s">
        <v>411</v>
      </c>
      <c r="G17" s="4" t="s">
        <v>412</v>
      </c>
      <c r="H17" s="4" t="s">
        <v>413</v>
      </c>
      <c r="I17" s="4" t="s">
        <v>85</v>
      </c>
      <c r="J17" s="4" t="s">
        <v>86</v>
      </c>
      <c r="K17" s="5">
        <v>2</v>
      </c>
      <c r="L17" s="5" t="s">
        <v>16</v>
      </c>
      <c r="M17" s="5">
        <v>1</v>
      </c>
      <c r="N17" s="4" t="s">
        <v>87</v>
      </c>
      <c r="O17" s="5" t="s">
        <v>17</v>
      </c>
      <c r="P17" s="5" t="s">
        <v>23</v>
      </c>
      <c r="Q17" s="5" t="s">
        <v>19</v>
      </c>
    </row>
    <row r="18" spans="1:17" ht="52">
      <c r="A18" s="14" t="s">
        <v>99</v>
      </c>
      <c r="B18" s="19" t="s">
        <v>82</v>
      </c>
      <c r="C18" s="5" t="s">
        <v>100</v>
      </c>
      <c r="D18" s="5">
        <v>5</v>
      </c>
      <c r="E18" s="4" t="s">
        <v>101</v>
      </c>
      <c r="F18" s="4" t="s">
        <v>70</v>
      </c>
      <c r="G18" s="4" t="s">
        <v>102</v>
      </c>
      <c r="H18" s="4" t="s">
        <v>72</v>
      </c>
      <c r="I18" s="4" t="s">
        <v>85</v>
      </c>
      <c r="J18" s="4" t="s">
        <v>86</v>
      </c>
      <c r="K18" s="5">
        <v>9</v>
      </c>
      <c r="L18" s="5" t="s">
        <v>16</v>
      </c>
      <c r="M18" s="5">
        <v>1</v>
      </c>
      <c r="N18" s="4" t="s">
        <v>87</v>
      </c>
      <c r="O18" s="5" t="s">
        <v>22</v>
      </c>
      <c r="P18" s="5" t="s">
        <v>20</v>
      </c>
      <c r="Q18" s="5" t="s">
        <v>19</v>
      </c>
    </row>
    <row r="19" spans="1:17" ht="52">
      <c r="A19" s="14" t="s">
        <v>103</v>
      </c>
      <c r="B19" s="19" t="s">
        <v>82</v>
      </c>
      <c r="C19" s="5" t="s">
        <v>25</v>
      </c>
      <c r="D19" s="5">
        <v>4</v>
      </c>
      <c r="E19" s="4" t="s">
        <v>104</v>
      </c>
      <c r="F19" s="4" t="s">
        <v>70</v>
      </c>
      <c r="G19" s="4" t="s">
        <v>105</v>
      </c>
      <c r="H19" s="4" t="s">
        <v>72</v>
      </c>
      <c r="I19" s="4" t="s">
        <v>85</v>
      </c>
      <c r="J19" s="4" t="s">
        <v>86</v>
      </c>
      <c r="K19" s="5">
        <v>7</v>
      </c>
      <c r="L19" s="5" t="s">
        <v>16</v>
      </c>
      <c r="M19" s="5">
        <v>1</v>
      </c>
      <c r="N19" s="4" t="s">
        <v>87</v>
      </c>
      <c r="O19" s="5" t="s">
        <v>17</v>
      </c>
      <c r="P19" s="5" t="s">
        <v>20</v>
      </c>
      <c r="Q19" s="5" t="s">
        <v>19</v>
      </c>
    </row>
    <row r="20" spans="1:17" ht="78">
      <c r="A20" s="14" t="s">
        <v>106</v>
      </c>
      <c r="B20" s="19" t="s">
        <v>82</v>
      </c>
      <c r="C20" s="5" t="s">
        <v>28</v>
      </c>
      <c r="D20" s="5">
        <v>4</v>
      </c>
      <c r="E20" s="4" t="s">
        <v>414</v>
      </c>
      <c r="F20" s="4" t="s">
        <v>70</v>
      </c>
      <c r="G20" s="4" t="s">
        <v>415</v>
      </c>
      <c r="H20" s="4" t="s">
        <v>416</v>
      </c>
      <c r="I20" s="4" t="s">
        <v>85</v>
      </c>
      <c r="J20" s="4" t="s">
        <v>86</v>
      </c>
      <c r="K20" s="5">
        <v>7</v>
      </c>
      <c r="L20" s="5" t="s">
        <v>16</v>
      </c>
      <c r="M20" s="5">
        <v>1</v>
      </c>
      <c r="N20" s="4" t="s">
        <v>87</v>
      </c>
      <c r="O20" s="5" t="s">
        <v>17</v>
      </c>
      <c r="P20" s="5" t="s">
        <v>20</v>
      </c>
      <c r="Q20" s="5" t="s">
        <v>19</v>
      </c>
    </row>
    <row r="21" spans="1:17" ht="52">
      <c r="A21" s="14" t="s">
        <v>107</v>
      </c>
      <c r="B21" s="19" t="s">
        <v>82</v>
      </c>
      <c r="C21" s="5" t="s">
        <v>29</v>
      </c>
      <c r="D21" s="5">
        <v>4</v>
      </c>
      <c r="E21" s="4" t="s">
        <v>108</v>
      </c>
      <c r="F21" s="4" t="s">
        <v>70</v>
      </c>
      <c r="G21" s="4" t="s">
        <v>109</v>
      </c>
      <c r="H21" s="4" t="s">
        <v>72</v>
      </c>
      <c r="I21" s="4" t="s">
        <v>85</v>
      </c>
      <c r="J21" s="4" t="s">
        <v>86</v>
      </c>
      <c r="K21" s="5">
        <v>7</v>
      </c>
      <c r="L21" s="5" t="s">
        <v>16</v>
      </c>
      <c r="M21" s="5">
        <v>1</v>
      </c>
      <c r="N21" s="4" t="s">
        <v>87</v>
      </c>
      <c r="O21" s="5" t="s">
        <v>17</v>
      </c>
      <c r="P21" s="5" t="s">
        <v>18</v>
      </c>
      <c r="Q21" s="5" t="s">
        <v>19</v>
      </c>
    </row>
    <row r="22" spans="1:17" ht="195">
      <c r="A22" s="14" t="s">
        <v>110</v>
      </c>
      <c r="B22" s="19" t="s">
        <v>33</v>
      </c>
      <c r="C22" s="5" t="s">
        <v>21</v>
      </c>
      <c r="D22" s="5">
        <v>5</v>
      </c>
      <c r="E22" s="4" t="s">
        <v>111</v>
      </c>
      <c r="F22" s="4" t="s">
        <v>59</v>
      </c>
      <c r="G22" s="4" t="s">
        <v>112</v>
      </c>
      <c r="H22" s="4" t="s">
        <v>49</v>
      </c>
      <c r="I22" s="4" t="s">
        <v>113</v>
      </c>
      <c r="J22" s="4" t="s">
        <v>114</v>
      </c>
      <c r="K22" s="5">
        <v>2</v>
      </c>
      <c r="L22" s="5" t="s">
        <v>16</v>
      </c>
      <c r="M22" s="5">
        <v>1</v>
      </c>
      <c r="N22" s="4" t="s">
        <v>115</v>
      </c>
      <c r="O22" s="5" t="s">
        <v>22</v>
      </c>
      <c r="P22" s="5" t="s">
        <v>23</v>
      </c>
      <c r="Q22" s="5" t="s">
        <v>19</v>
      </c>
    </row>
    <row r="23" spans="1:17" ht="195.5" thickBot="1">
      <c r="A23" s="14" t="s">
        <v>116</v>
      </c>
      <c r="B23" s="19" t="s">
        <v>33</v>
      </c>
      <c r="C23" s="5" t="s">
        <v>21</v>
      </c>
      <c r="D23" s="5">
        <v>4</v>
      </c>
      <c r="E23" s="4" t="s">
        <v>117</v>
      </c>
      <c r="F23" s="4" t="s">
        <v>63</v>
      </c>
      <c r="G23" s="4" t="s">
        <v>118</v>
      </c>
      <c r="H23" s="4" t="s">
        <v>49</v>
      </c>
      <c r="I23" s="4" t="s">
        <v>113</v>
      </c>
      <c r="J23" s="4" t="s">
        <v>114</v>
      </c>
      <c r="K23" s="5">
        <v>2</v>
      </c>
      <c r="L23" s="5" t="s">
        <v>16</v>
      </c>
      <c r="M23" s="5">
        <v>1</v>
      </c>
      <c r="N23" s="4" t="s">
        <v>115</v>
      </c>
      <c r="O23" s="5" t="s">
        <v>17</v>
      </c>
      <c r="P23" s="5" t="s">
        <v>23</v>
      </c>
      <c r="Q23" s="5" t="s">
        <v>19</v>
      </c>
    </row>
    <row r="24" spans="1:17" ht="182">
      <c r="A24" s="12" t="s">
        <v>119</v>
      </c>
      <c r="B24" s="18" t="s">
        <v>33</v>
      </c>
      <c r="C24" s="3" t="s">
        <v>21</v>
      </c>
      <c r="D24" s="3">
        <v>4</v>
      </c>
      <c r="E24" s="2" t="s">
        <v>120</v>
      </c>
      <c r="F24" s="2" t="s">
        <v>47</v>
      </c>
      <c r="G24" s="2" t="s">
        <v>121</v>
      </c>
      <c r="H24" s="2" t="s">
        <v>49</v>
      </c>
      <c r="I24" s="2" t="s">
        <v>113</v>
      </c>
      <c r="J24" s="2" t="s">
        <v>114</v>
      </c>
      <c r="K24" s="3">
        <v>2</v>
      </c>
      <c r="L24" s="3" t="s">
        <v>16</v>
      </c>
      <c r="M24" s="3">
        <v>1</v>
      </c>
      <c r="N24" s="2" t="s">
        <v>115</v>
      </c>
      <c r="O24" s="3" t="s">
        <v>17</v>
      </c>
      <c r="P24" s="3" t="s">
        <v>23</v>
      </c>
      <c r="Q24" s="3" t="s">
        <v>19</v>
      </c>
    </row>
    <row r="25" spans="1:17" ht="195">
      <c r="A25" s="14" t="s">
        <v>122</v>
      </c>
      <c r="B25" s="19" t="s">
        <v>33</v>
      </c>
      <c r="C25" s="5" t="s">
        <v>21</v>
      </c>
      <c r="D25" s="5">
        <v>5</v>
      </c>
      <c r="E25" s="4" t="s">
        <v>123</v>
      </c>
      <c r="F25" s="4" t="s">
        <v>55</v>
      </c>
      <c r="G25" s="4" t="s">
        <v>124</v>
      </c>
      <c r="H25" s="4" t="s">
        <v>49</v>
      </c>
      <c r="I25" s="4" t="s">
        <v>113</v>
      </c>
      <c r="J25" s="4" t="s">
        <v>114</v>
      </c>
      <c r="K25" s="5">
        <v>2</v>
      </c>
      <c r="L25" s="5" t="s">
        <v>16</v>
      </c>
      <c r="M25" s="5">
        <v>1</v>
      </c>
      <c r="N25" s="4" t="s">
        <v>115</v>
      </c>
      <c r="O25" s="5" t="s">
        <v>22</v>
      </c>
      <c r="P25" s="5" t="s">
        <v>23</v>
      </c>
      <c r="Q25" s="5" t="s">
        <v>19</v>
      </c>
    </row>
    <row r="26" spans="1:17" ht="182">
      <c r="A26" s="14" t="s">
        <v>125</v>
      </c>
      <c r="B26" s="19" t="s">
        <v>33</v>
      </c>
      <c r="C26" s="5" t="s">
        <v>21</v>
      </c>
      <c r="D26" s="5">
        <v>4</v>
      </c>
      <c r="E26" s="4" t="s">
        <v>126</v>
      </c>
      <c r="F26" s="4" t="s">
        <v>59</v>
      </c>
      <c r="G26" s="4" t="s">
        <v>127</v>
      </c>
      <c r="H26" s="4" t="s">
        <v>49</v>
      </c>
      <c r="I26" s="4" t="s">
        <v>113</v>
      </c>
      <c r="J26" s="4" t="s">
        <v>114</v>
      </c>
      <c r="K26" s="5">
        <v>2</v>
      </c>
      <c r="L26" s="5" t="s">
        <v>16</v>
      </c>
      <c r="M26" s="5">
        <v>1</v>
      </c>
      <c r="N26" s="4" t="s">
        <v>115</v>
      </c>
      <c r="O26" s="5" t="s">
        <v>17</v>
      </c>
      <c r="P26" s="5" t="s">
        <v>23</v>
      </c>
      <c r="Q26" s="5" t="s">
        <v>19</v>
      </c>
    </row>
    <row r="27" spans="1:17" ht="195.5" thickBot="1">
      <c r="A27" s="14" t="s">
        <v>128</v>
      </c>
      <c r="B27" s="19" t="s">
        <v>33</v>
      </c>
      <c r="C27" s="5" t="s">
        <v>21</v>
      </c>
      <c r="D27" s="5">
        <v>4</v>
      </c>
      <c r="E27" s="4" t="s">
        <v>129</v>
      </c>
      <c r="F27" s="4" t="s">
        <v>63</v>
      </c>
      <c r="G27" s="4" t="s">
        <v>130</v>
      </c>
      <c r="H27" s="4" t="s">
        <v>49</v>
      </c>
      <c r="I27" s="4" t="s">
        <v>113</v>
      </c>
      <c r="J27" s="4" t="s">
        <v>114</v>
      </c>
      <c r="K27" s="5">
        <v>2</v>
      </c>
      <c r="L27" s="5" t="s">
        <v>16</v>
      </c>
      <c r="M27" s="5">
        <v>1</v>
      </c>
      <c r="N27" s="4" t="s">
        <v>115</v>
      </c>
      <c r="O27" s="5" t="s">
        <v>17</v>
      </c>
      <c r="P27" s="5" t="s">
        <v>23</v>
      </c>
      <c r="Q27" s="5" t="s">
        <v>19</v>
      </c>
    </row>
    <row r="28" spans="1:17" ht="52">
      <c r="A28" s="12" t="s">
        <v>131</v>
      </c>
      <c r="B28" s="18" t="s">
        <v>33</v>
      </c>
      <c r="C28" s="3" t="s">
        <v>132</v>
      </c>
      <c r="D28" s="3">
        <v>5</v>
      </c>
      <c r="E28" s="2" t="s">
        <v>133</v>
      </c>
      <c r="F28" s="2" t="s">
        <v>70</v>
      </c>
      <c r="G28" s="2" t="s">
        <v>134</v>
      </c>
      <c r="H28" s="2" t="s">
        <v>72</v>
      </c>
      <c r="I28" s="2" t="s">
        <v>113</v>
      </c>
      <c r="J28" s="2" t="s">
        <v>114</v>
      </c>
      <c r="K28" s="3">
        <v>9</v>
      </c>
      <c r="L28" s="3" t="s">
        <v>16</v>
      </c>
      <c r="M28" s="3">
        <v>1</v>
      </c>
      <c r="N28" s="2" t="s">
        <v>115</v>
      </c>
      <c r="O28" s="3" t="s">
        <v>22</v>
      </c>
      <c r="P28" s="3" t="s">
        <v>20</v>
      </c>
      <c r="Q28" s="3" t="s">
        <v>19</v>
      </c>
    </row>
    <row r="29" spans="1:17" ht="52">
      <c r="A29" s="14" t="s">
        <v>135</v>
      </c>
      <c r="B29" s="19" t="s">
        <v>33</v>
      </c>
      <c r="C29" s="5" t="s">
        <v>28</v>
      </c>
      <c r="D29" s="5">
        <v>4</v>
      </c>
      <c r="E29" s="4" t="s">
        <v>136</v>
      </c>
      <c r="F29" s="4" t="s">
        <v>70</v>
      </c>
      <c r="G29" s="4" t="s">
        <v>137</v>
      </c>
      <c r="H29" s="4" t="s">
        <v>72</v>
      </c>
      <c r="I29" s="4" t="s">
        <v>113</v>
      </c>
      <c r="J29" s="4" t="s">
        <v>114</v>
      </c>
      <c r="K29" s="5">
        <v>7</v>
      </c>
      <c r="L29" s="5" t="s">
        <v>16</v>
      </c>
      <c r="M29" s="5">
        <v>1</v>
      </c>
      <c r="N29" s="4" t="s">
        <v>115</v>
      </c>
      <c r="O29" s="5" t="s">
        <v>17</v>
      </c>
      <c r="P29" s="5" t="s">
        <v>20</v>
      </c>
      <c r="Q29" s="5" t="s">
        <v>19</v>
      </c>
    </row>
    <row r="30" spans="1:17" ht="52">
      <c r="A30" s="14" t="s">
        <v>138</v>
      </c>
      <c r="B30" s="19" t="s">
        <v>33</v>
      </c>
      <c r="C30" s="5" t="s">
        <v>74</v>
      </c>
      <c r="D30" s="5">
        <v>4</v>
      </c>
      <c r="E30" s="4" t="s">
        <v>139</v>
      </c>
      <c r="F30" s="4" t="s">
        <v>70</v>
      </c>
      <c r="G30" s="4" t="s">
        <v>140</v>
      </c>
      <c r="H30" s="4" t="s">
        <v>72</v>
      </c>
      <c r="I30" s="4" t="s">
        <v>113</v>
      </c>
      <c r="J30" s="4" t="s">
        <v>114</v>
      </c>
      <c r="K30" s="5">
        <v>7</v>
      </c>
      <c r="L30" s="5" t="s">
        <v>16</v>
      </c>
      <c r="M30" s="5">
        <v>1</v>
      </c>
      <c r="N30" s="4" t="s">
        <v>115</v>
      </c>
      <c r="O30" s="5" t="s">
        <v>17</v>
      </c>
      <c r="P30" s="5" t="s">
        <v>20</v>
      </c>
      <c r="Q30" s="5" t="s">
        <v>19</v>
      </c>
    </row>
    <row r="31" spans="1:17" ht="52">
      <c r="A31" s="14" t="s">
        <v>141</v>
      </c>
      <c r="B31" s="19" t="s">
        <v>33</v>
      </c>
      <c r="C31" s="5" t="s">
        <v>26</v>
      </c>
      <c r="D31" s="5">
        <v>4</v>
      </c>
      <c r="E31" s="4" t="s">
        <v>142</v>
      </c>
      <c r="F31" s="4" t="s">
        <v>70</v>
      </c>
      <c r="G31" s="4" t="s">
        <v>143</v>
      </c>
      <c r="H31" s="4" t="s">
        <v>72</v>
      </c>
      <c r="I31" s="4" t="s">
        <v>113</v>
      </c>
      <c r="J31" s="4" t="s">
        <v>114</v>
      </c>
      <c r="K31" s="5">
        <v>7</v>
      </c>
      <c r="L31" s="5" t="s">
        <v>16</v>
      </c>
      <c r="M31" s="5">
        <v>1</v>
      </c>
      <c r="N31" s="4" t="s">
        <v>115</v>
      </c>
      <c r="O31" s="5" t="s">
        <v>17</v>
      </c>
      <c r="P31" s="5" t="s">
        <v>20</v>
      </c>
      <c r="Q31" s="5" t="s">
        <v>19</v>
      </c>
    </row>
    <row r="32" spans="1:17" ht="182">
      <c r="A32" s="14" t="s">
        <v>144</v>
      </c>
      <c r="B32" s="19" t="s">
        <v>145</v>
      </c>
      <c r="C32" s="5" t="s">
        <v>21</v>
      </c>
      <c r="D32" s="5">
        <v>5</v>
      </c>
      <c r="E32" s="4" t="s">
        <v>146</v>
      </c>
      <c r="F32" s="4" t="s">
        <v>55</v>
      </c>
      <c r="G32" s="4" t="s">
        <v>147</v>
      </c>
      <c r="H32" s="4" t="s">
        <v>49</v>
      </c>
      <c r="I32" s="4" t="s">
        <v>148</v>
      </c>
      <c r="J32" s="4" t="s">
        <v>149</v>
      </c>
      <c r="K32" s="5">
        <v>2</v>
      </c>
      <c r="L32" s="5" t="s">
        <v>16</v>
      </c>
      <c r="M32" s="5">
        <v>1</v>
      </c>
      <c r="N32" s="4" t="s">
        <v>150</v>
      </c>
      <c r="O32" s="5" t="s">
        <v>22</v>
      </c>
      <c r="P32" s="5" t="s">
        <v>23</v>
      </c>
      <c r="Q32" s="5" t="s">
        <v>19</v>
      </c>
    </row>
    <row r="33" spans="1:17" ht="195">
      <c r="A33" s="14" t="s">
        <v>151</v>
      </c>
      <c r="B33" s="19" t="s">
        <v>145</v>
      </c>
      <c r="C33" s="5" t="s">
        <v>21</v>
      </c>
      <c r="D33" s="5">
        <v>4</v>
      </c>
      <c r="E33" s="4" t="s">
        <v>152</v>
      </c>
      <c r="F33" s="4" t="s">
        <v>59</v>
      </c>
      <c r="G33" s="4" t="s">
        <v>153</v>
      </c>
      <c r="H33" s="4" t="s">
        <v>49</v>
      </c>
      <c r="I33" s="4" t="s">
        <v>148</v>
      </c>
      <c r="J33" s="4" t="s">
        <v>149</v>
      </c>
      <c r="K33" s="5">
        <v>2</v>
      </c>
      <c r="L33" s="5" t="s">
        <v>16</v>
      </c>
      <c r="M33" s="5">
        <v>1</v>
      </c>
      <c r="N33" s="4" t="s">
        <v>150</v>
      </c>
      <c r="O33" s="5" t="s">
        <v>17</v>
      </c>
      <c r="P33" s="5" t="s">
        <v>23</v>
      </c>
      <c r="Q33" s="5" t="s">
        <v>19</v>
      </c>
    </row>
    <row r="34" spans="1:17" ht="182.5" thickBot="1">
      <c r="A34" s="14" t="s">
        <v>154</v>
      </c>
      <c r="B34" s="19" t="s">
        <v>145</v>
      </c>
      <c r="C34" s="5" t="s">
        <v>21</v>
      </c>
      <c r="D34" s="5">
        <v>4</v>
      </c>
      <c r="E34" s="4" t="s">
        <v>155</v>
      </c>
      <c r="F34" s="4" t="s">
        <v>63</v>
      </c>
      <c r="G34" s="4" t="s">
        <v>156</v>
      </c>
      <c r="H34" s="4" t="s">
        <v>49</v>
      </c>
      <c r="I34" s="4" t="s">
        <v>148</v>
      </c>
      <c r="J34" s="4" t="s">
        <v>149</v>
      </c>
      <c r="K34" s="5">
        <v>2</v>
      </c>
      <c r="L34" s="5" t="s">
        <v>16</v>
      </c>
      <c r="M34" s="5">
        <v>1</v>
      </c>
      <c r="N34" s="4" t="s">
        <v>150</v>
      </c>
      <c r="O34" s="5" t="s">
        <v>17</v>
      </c>
      <c r="P34" s="5" t="s">
        <v>23</v>
      </c>
      <c r="Q34" s="5" t="s">
        <v>19</v>
      </c>
    </row>
    <row r="35" spans="1:17" ht="195">
      <c r="A35" s="12" t="s">
        <v>157</v>
      </c>
      <c r="B35" s="18" t="s">
        <v>145</v>
      </c>
      <c r="C35" s="3" t="s">
        <v>21</v>
      </c>
      <c r="D35" s="3">
        <v>5</v>
      </c>
      <c r="E35" s="2" t="s">
        <v>158</v>
      </c>
      <c r="F35" s="2" t="s">
        <v>47</v>
      </c>
      <c r="G35" s="2" t="s">
        <v>159</v>
      </c>
      <c r="H35" s="2" t="s">
        <v>49</v>
      </c>
      <c r="I35" s="2" t="s">
        <v>148</v>
      </c>
      <c r="J35" s="2" t="s">
        <v>149</v>
      </c>
      <c r="K35" s="3">
        <v>2</v>
      </c>
      <c r="L35" s="3" t="s">
        <v>16</v>
      </c>
      <c r="M35" s="3">
        <v>1</v>
      </c>
      <c r="N35" s="2" t="s">
        <v>150</v>
      </c>
      <c r="O35" s="3" t="s">
        <v>22</v>
      </c>
      <c r="P35" s="3" t="s">
        <v>23</v>
      </c>
      <c r="Q35" s="3" t="s">
        <v>19</v>
      </c>
    </row>
    <row r="36" spans="1:17" ht="195">
      <c r="A36" s="14" t="s">
        <v>160</v>
      </c>
      <c r="B36" s="19" t="s">
        <v>145</v>
      </c>
      <c r="C36" s="5" t="s">
        <v>21</v>
      </c>
      <c r="D36" s="5">
        <v>4</v>
      </c>
      <c r="E36" s="4" t="s">
        <v>161</v>
      </c>
      <c r="F36" s="4" t="s">
        <v>55</v>
      </c>
      <c r="G36" s="4" t="s">
        <v>162</v>
      </c>
      <c r="H36" s="4" t="s">
        <v>49</v>
      </c>
      <c r="I36" s="4" t="s">
        <v>148</v>
      </c>
      <c r="J36" s="4" t="s">
        <v>149</v>
      </c>
      <c r="K36" s="5">
        <v>2</v>
      </c>
      <c r="L36" s="5" t="s">
        <v>16</v>
      </c>
      <c r="M36" s="5">
        <v>1</v>
      </c>
      <c r="N36" s="4" t="s">
        <v>150</v>
      </c>
      <c r="O36" s="5" t="s">
        <v>17</v>
      </c>
      <c r="P36" s="5" t="s">
        <v>23</v>
      </c>
      <c r="Q36" s="5" t="s">
        <v>19</v>
      </c>
    </row>
    <row r="37" spans="1:17" ht="195">
      <c r="A37" s="14" t="s">
        <v>163</v>
      </c>
      <c r="B37" s="19" t="s">
        <v>145</v>
      </c>
      <c r="C37" s="5" t="s">
        <v>21</v>
      </c>
      <c r="D37" s="5">
        <v>4</v>
      </c>
      <c r="E37" s="4" t="s">
        <v>164</v>
      </c>
      <c r="F37" s="4" t="s">
        <v>59</v>
      </c>
      <c r="G37" s="4" t="s">
        <v>165</v>
      </c>
      <c r="H37" s="4" t="s">
        <v>49</v>
      </c>
      <c r="I37" s="4" t="s">
        <v>148</v>
      </c>
      <c r="J37" s="4" t="s">
        <v>149</v>
      </c>
      <c r="K37" s="5">
        <v>2</v>
      </c>
      <c r="L37" s="5" t="s">
        <v>16</v>
      </c>
      <c r="M37" s="5">
        <v>1</v>
      </c>
      <c r="N37" s="4" t="s">
        <v>150</v>
      </c>
      <c r="O37" s="5" t="s">
        <v>17</v>
      </c>
      <c r="P37" s="5" t="s">
        <v>23</v>
      </c>
      <c r="Q37" s="5" t="s">
        <v>19</v>
      </c>
    </row>
    <row r="38" spans="1:17" ht="52">
      <c r="A38" s="14" t="s">
        <v>166</v>
      </c>
      <c r="B38" s="19" t="s">
        <v>145</v>
      </c>
      <c r="C38" s="5" t="s">
        <v>167</v>
      </c>
      <c r="D38" s="5">
        <v>5</v>
      </c>
      <c r="E38" s="4" t="s">
        <v>168</v>
      </c>
      <c r="F38" s="4" t="s">
        <v>70</v>
      </c>
      <c r="G38" s="4" t="s">
        <v>169</v>
      </c>
      <c r="H38" s="4" t="s">
        <v>72</v>
      </c>
      <c r="I38" s="4" t="s">
        <v>148</v>
      </c>
      <c r="J38" s="4" t="s">
        <v>149</v>
      </c>
      <c r="K38" s="5">
        <v>9</v>
      </c>
      <c r="L38" s="5" t="s">
        <v>16</v>
      </c>
      <c r="M38" s="5">
        <v>1</v>
      </c>
      <c r="N38" s="4" t="s">
        <v>150</v>
      </c>
      <c r="O38" s="5" t="s">
        <v>22</v>
      </c>
      <c r="P38" s="5" t="s">
        <v>20</v>
      </c>
      <c r="Q38" s="5" t="s">
        <v>19</v>
      </c>
    </row>
    <row r="39" spans="1:17" ht="52">
      <c r="A39" s="14" t="s">
        <v>170</v>
      </c>
      <c r="B39" s="19" t="s">
        <v>145</v>
      </c>
      <c r="C39" s="5" t="s">
        <v>27</v>
      </c>
      <c r="D39" s="5">
        <v>4</v>
      </c>
      <c r="E39" s="4" t="s">
        <v>171</v>
      </c>
      <c r="F39" s="4" t="s">
        <v>70</v>
      </c>
      <c r="G39" s="4" t="s">
        <v>172</v>
      </c>
      <c r="H39" s="4" t="s">
        <v>72</v>
      </c>
      <c r="I39" s="4" t="s">
        <v>148</v>
      </c>
      <c r="J39" s="4" t="s">
        <v>149</v>
      </c>
      <c r="K39" s="5">
        <v>7</v>
      </c>
      <c r="L39" s="5" t="s">
        <v>16</v>
      </c>
      <c r="M39" s="5">
        <v>1</v>
      </c>
      <c r="N39" s="4" t="s">
        <v>150</v>
      </c>
      <c r="O39" s="5" t="s">
        <v>17</v>
      </c>
      <c r="P39" s="5" t="s">
        <v>20</v>
      </c>
      <c r="Q39" s="5" t="s">
        <v>19</v>
      </c>
    </row>
    <row r="40" spans="1:17" ht="52">
      <c r="A40" s="14" t="s">
        <v>173</v>
      </c>
      <c r="B40" s="19" t="s">
        <v>145</v>
      </c>
      <c r="C40" s="5" t="s">
        <v>28</v>
      </c>
      <c r="D40" s="5">
        <v>4</v>
      </c>
      <c r="E40" s="4" t="s">
        <v>174</v>
      </c>
      <c r="F40" s="4" t="s">
        <v>70</v>
      </c>
      <c r="G40" s="4" t="s">
        <v>175</v>
      </c>
      <c r="H40" s="4" t="s">
        <v>72</v>
      </c>
      <c r="I40" s="4" t="s">
        <v>148</v>
      </c>
      <c r="J40" s="4" t="s">
        <v>149</v>
      </c>
      <c r="K40" s="5">
        <v>7</v>
      </c>
      <c r="L40" s="5" t="s">
        <v>16</v>
      </c>
      <c r="M40" s="5">
        <v>1</v>
      </c>
      <c r="N40" s="4" t="s">
        <v>150</v>
      </c>
      <c r="O40" s="5" t="s">
        <v>17</v>
      </c>
      <c r="P40" s="5" t="s">
        <v>20</v>
      </c>
      <c r="Q40" s="5" t="s">
        <v>19</v>
      </c>
    </row>
    <row r="41" spans="1:17" ht="52.5" thickBot="1">
      <c r="A41" s="14" t="s">
        <v>176</v>
      </c>
      <c r="B41" s="19" t="s">
        <v>145</v>
      </c>
      <c r="C41" s="5" t="s">
        <v>177</v>
      </c>
      <c r="D41" s="5">
        <v>4</v>
      </c>
      <c r="E41" s="4" t="s">
        <v>178</v>
      </c>
      <c r="F41" s="4" t="s">
        <v>70</v>
      </c>
      <c r="G41" s="4" t="s">
        <v>179</v>
      </c>
      <c r="H41" s="4" t="s">
        <v>72</v>
      </c>
      <c r="I41" s="4" t="s">
        <v>148</v>
      </c>
      <c r="J41" s="4" t="s">
        <v>149</v>
      </c>
      <c r="K41" s="5">
        <v>7</v>
      </c>
      <c r="L41" s="5" t="s">
        <v>16</v>
      </c>
      <c r="M41" s="5">
        <v>1</v>
      </c>
      <c r="N41" s="4" t="s">
        <v>150</v>
      </c>
      <c r="O41" s="5" t="s">
        <v>17</v>
      </c>
      <c r="P41" s="5" t="s">
        <v>18</v>
      </c>
      <c r="Q41" s="5" t="s">
        <v>19</v>
      </c>
    </row>
    <row r="42" spans="1:17" ht="195">
      <c r="A42" s="12" t="s">
        <v>180</v>
      </c>
      <c r="B42" s="18" t="s">
        <v>181</v>
      </c>
      <c r="C42" s="3" t="s">
        <v>21</v>
      </c>
      <c r="D42" s="3">
        <v>5</v>
      </c>
      <c r="E42" s="2" t="s">
        <v>182</v>
      </c>
      <c r="F42" s="2" t="s">
        <v>47</v>
      </c>
      <c r="G42" s="2" t="s">
        <v>183</v>
      </c>
      <c r="H42" s="2" t="s">
        <v>49</v>
      </c>
      <c r="I42" s="2" t="s">
        <v>184</v>
      </c>
      <c r="J42" s="2" t="s">
        <v>185</v>
      </c>
      <c r="K42" s="3">
        <v>2</v>
      </c>
      <c r="L42" s="3" t="s">
        <v>16</v>
      </c>
      <c r="M42" s="3">
        <v>1</v>
      </c>
      <c r="N42" s="2" t="s">
        <v>186</v>
      </c>
      <c r="O42" s="3" t="s">
        <v>22</v>
      </c>
      <c r="P42" s="3" t="s">
        <v>23</v>
      </c>
      <c r="Q42" s="3" t="s">
        <v>19</v>
      </c>
    </row>
    <row r="43" spans="1:17" ht="195">
      <c r="A43" s="14" t="s">
        <v>187</v>
      </c>
      <c r="B43" s="19" t="s">
        <v>181</v>
      </c>
      <c r="C43" s="5" t="s">
        <v>21</v>
      </c>
      <c r="D43" s="5">
        <v>4</v>
      </c>
      <c r="E43" s="4" t="s">
        <v>188</v>
      </c>
      <c r="F43" s="4" t="s">
        <v>55</v>
      </c>
      <c r="G43" s="4" t="s">
        <v>189</v>
      </c>
      <c r="H43" s="4" t="s">
        <v>49</v>
      </c>
      <c r="I43" s="4" t="s">
        <v>184</v>
      </c>
      <c r="J43" s="4" t="s">
        <v>185</v>
      </c>
      <c r="K43" s="5">
        <v>2</v>
      </c>
      <c r="L43" s="5" t="s">
        <v>16</v>
      </c>
      <c r="M43" s="5">
        <v>1</v>
      </c>
      <c r="N43" s="4" t="s">
        <v>186</v>
      </c>
      <c r="O43" s="5" t="s">
        <v>17</v>
      </c>
      <c r="P43" s="5" t="s">
        <v>23</v>
      </c>
      <c r="Q43" s="5" t="s">
        <v>19</v>
      </c>
    </row>
    <row r="44" spans="1:17" ht="195">
      <c r="A44" s="14" t="s">
        <v>190</v>
      </c>
      <c r="B44" s="19" t="s">
        <v>181</v>
      </c>
      <c r="C44" s="5" t="s">
        <v>21</v>
      </c>
      <c r="D44" s="5">
        <v>4</v>
      </c>
      <c r="E44" s="4" t="s">
        <v>191</v>
      </c>
      <c r="F44" s="4" t="s">
        <v>59</v>
      </c>
      <c r="G44" s="4" t="s">
        <v>192</v>
      </c>
      <c r="H44" s="4" t="s">
        <v>49</v>
      </c>
      <c r="I44" s="4" t="s">
        <v>184</v>
      </c>
      <c r="J44" s="4" t="s">
        <v>185</v>
      </c>
      <c r="K44" s="5">
        <v>2</v>
      </c>
      <c r="L44" s="5" t="s">
        <v>16</v>
      </c>
      <c r="M44" s="5">
        <v>1</v>
      </c>
      <c r="N44" s="4" t="s">
        <v>186</v>
      </c>
      <c r="O44" s="5" t="s">
        <v>17</v>
      </c>
      <c r="P44" s="5" t="s">
        <v>23</v>
      </c>
      <c r="Q44" s="5" t="s">
        <v>19</v>
      </c>
    </row>
    <row r="45" spans="1:17" ht="195">
      <c r="A45" s="14" t="s">
        <v>193</v>
      </c>
      <c r="B45" s="19" t="s">
        <v>181</v>
      </c>
      <c r="C45" s="5" t="s">
        <v>21</v>
      </c>
      <c r="D45" s="5">
        <v>5</v>
      </c>
      <c r="E45" s="4" t="s">
        <v>194</v>
      </c>
      <c r="F45" s="4" t="s">
        <v>63</v>
      </c>
      <c r="G45" s="4" t="s">
        <v>195</v>
      </c>
      <c r="H45" s="4" t="s">
        <v>49</v>
      </c>
      <c r="I45" s="4" t="s">
        <v>184</v>
      </c>
      <c r="J45" s="4" t="s">
        <v>185</v>
      </c>
      <c r="K45" s="5">
        <v>2</v>
      </c>
      <c r="L45" s="5" t="s">
        <v>16</v>
      </c>
      <c r="M45" s="5">
        <v>1</v>
      </c>
      <c r="N45" s="4" t="s">
        <v>186</v>
      </c>
      <c r="O45" s="5" t="s">
        <v>22</v>
      </c>
      <c r="P45" s="5" t="s">
        <v>23</v>
      </c>
      <c r="Q45" s="5" t="s">
        <v>19</v>
      </c>
    </row>
    <row r="46" spans="1:17" ht="195">
      <c r="A46" s="14" t="s">
        <v>196</v>
      </c>
      <c r="B46" s="19" t="s">
        <v>181</v>
      </c>
      <c r="C46" s="5" t="s">
        <v>21</v>
      </c>
      <c r="D46" s="5">
        <v>4</v>
      </c>
      <c r="E46" s="4" t="s">
        <v>197</v>
      </c>
      <c r="F46" s="4" t="s">
        <v>47</v>
      </c>
      <c r="G46" s="4" t="s">
        <v>198</v>
      </c>
      <c r="H46" s="4" t="s">
        <v>49</v>
      </c>
      <c r="I46" s="4" t="s">
        <v>184</v>
      </c>
      <c r="J46" s="4" t="s">
        <v>185</v>
      </c>
      <c r="K46" s="5">
        <v>2</v>
      </c>
      <c r="L46" s="5" t="s">
        <v>16</v>
      </c>
      <c r="M46" s="5">
        <v>1</v>
      </c>
      <c r="N46" s="4" t="s">
        <v>186</v>
      </c>
      <c r="O46" s="5" t="s">
        <v>17</v>
      </c>
      <c r="P46" s="5" t="s">
        <v>23</v>
      </c>
      <c r="Q46" s="5" t="s">
        <v>19</v>
      </c>
    </row>
    <row r="47" spans="1:17" ht="195">
      <c r="A47" s="14" t="s">
        <v>199</v>
      </c>
      <c r="B47" s="19" t="s">
        <v>181</v>
      </c>
      <c r="C47" s="5" t="s">
        <v>21</v>
      </c>
      <c r="D47" s="5">
        <v>4</v>
      </c>
      <c r="E47" s="4" t="s">
        <v>200</v>
      </c>
      <c r="F47" s="4" t="s">
        <v>55</v>
      </c>
      <c r="G47" s="4" t="s">
        <v>201</v>
      </c>
      <c r="H47" s="4" t="s">
        <v>49</v>
      </c>
      <c r="I47" s="4" t="s">
        <v>184</v>
      </c>
      <c r="J47" s="4" t="s">
        <v>185</v>
      </c>
      <c r="K47" s="5">
        <v>2</v>
      </c>
      <c r="L47" s="5" t="s">
        <v>16</v>
      </c>
      <c r="M47" s="5">
        <v>1</v>
      </c>
      <c r="N47" s="4" t="s">
        <v>186</v>
      </c>
      <c r="O47" s="5" t="s">
        <v>17</v>
      </c>
      <c r="P47" s="5" t="s">
        <v>23</v>
      </c>
      <c r="Q47" s="5" t="s">
        <v>19</v>
      </c>
    </row>
    <row r="48" spans="1:17" ht="52">
      <c r="A48" s="14" t="s">
        <v>202</v>
      </c>
      <c r="B48" s="19" t="s">
        <v>181</v>
      </c>
      <c r="C48" s="5" t="s">
        <v>203</v>
      </c>
      <c r="D48" s="5">
        <v>5</v>
      </c>
      <c r="E48" s="4" t="s">
        <v>204</v>
      </c>
      <c r="F48" s="4" t="s">
        <v>70</v>
      </c>
      <c r="G48" s="4" t="s">
        <v>205</v>
      </c>
      <c r="H48" s="4" t="s">
        <v>72</v>
      </c>
      <c r="I48" s="4" t="s">
        <v>184</v>
      </c>
      <c r="J48" s="4" t="s">
        <v>185</v>
      </c>
      <c r="K48" s="5">
        <v>9</v>
      </c>
      <c r="L48" s="5" t="s">
        <v>16</v>
      </c>
      <c r="M48" s="5">
        <v>1</v>
      </c>
      <c r="N48" s="4" t="s">
        <v>186</v>
      </c>
      <c r="O48" s="5" t="s">
        <v>22</v>
      </c>
      <c r="P48" s="5" t="s">
        <v>20</v>
      </c>
      <c r="Q48" s="5" t="s">
        <v>19</v>
      </c>
    </row>
    <row r="49" spans="1:17" ht="52">
      <c r="A49" s="14" t="s">
        <v>206</v>
      </c>
      <c r="B49" s="19" t="s">
        <v>181</v>
      </c>
      <c r="C49" s="5" t="s">
        <v>28</v>
      </c>
      <c r="D49" s="5">
        <v>4</v>
      </c>
      <c r="E49" s="4" t="s">
        <v>207</v>
      </c>
      <c r="F49" s="4" t="s">
        <v>70</v>
      </c>
      <c r="G49" s="4" t="s">
        <v>208</v>
      </c>
      <c r="H49" s="4" t="s">
        <v>72</v>
      </c>
      <c r="I49" s="4" t="s">
        <v>184</v>
      </c>
      <c r="J49" s="4" t="s">
        <v>185</v>
      </c>
      <c r="K49" s="5">
        <v>7</v>
      </c>
      <c r="L49" s="5" t="s">
        <v>16</v>
      </c>
      <c r="M49" s="5">
        <v>1</v>
      </c>
      <c r="N49" s="4" t="s">
        <v>186</v>
      </c>
      <c r="O49" s="5" t="s">
        <v>17</v>
      </c>
      <c r="P49" s="5" t="s">
        <v>20</v>
      </c>
      <c r="Q49" s="5" t="s">
        <v>19</v>
      </c>
    </row>
    <row r="50" spans="1:17" ht="52">
      <c r="A50" s="14" t="s">
        <v>209</v>
      </c>
      <c r="B50" s="19" t="s">
        <v>181</v>
      </c>
      <c r="C50" s="5" t="s">
        <v>27</v>
      </c>
      <c r="D50" s="5">
        <v>4</v>
      </c>
      <c r="E50" s="4" t="s">
        <v>210</v>
      </c>
      <c r="F50" s="4" t="s">
        <v>70</v>
      </c>
      <c r="G50" s="4" t="s">
        <v>211</v>
      </c>
      <c r="H50" s="4" t="s">
        <v>72</v>
      </c>
      <c r="I50" s="4" t="s">
        <v>184</v>
      </c>
      <c r="J50" s="4" t="s">
        <v>185</v>
      </c>
      <c r="K50" s="5">
        <v>7</v>
      </c>
      <c r="L50" s="5" t="s">
        <v>16</v>
      </c>
      <c r="M50" s="5">
        <v>1</v>
      </c>
      <c r="N50" s="4" t="s">
        <v>186</v>
      </c>
      <c r="O50" s="5" t="s">
        <v>17</v>
      </c>
      <c r="P50" s="5" t="s">
        <v>20</v>
      </c>
      <c r="Q50" s="5" t="s">
        <v>19</v>
      </c>
    </row>
    <row r="51" spans="1:17" ht="52">
      <c r="A51" s="14" t="s">
        <v>212</v>
      </c>
      <c r="B51" s="19" t="s">
        <v>181</v>
      </c>
      <c r="C51" s="5" t="s">
        <v>26</v>
      </c>
      <c r="D51" s="5">
        <v>4</v>
      </c>
      <c r="E51" s="4" t="s">
        <v>213</v>
      </c>
      <c r="F51" s="4" t="s">
        <v>70</v>
      </c>
      <c r="G51" s="4" t="s">
        <v>214</v>
      </c>
      <c r="H51" s="4" t="s">
        <v>72</v>
      </c>
      <c r="I51" s="4" t="s">
        <v>184</v>
      </c>
      <c r="J51" s="4" t="s">
        <v>185</v>
      </c>
      <c r="K51" s="5">
        <v>7</v>
      </c>
      <c r="L51" s="5" t="s">
        <v>16</v>
      </c>
      <c r="M51" s="5">
        <v>1</v>
      </c>
      <c r="N51" s="4" t="s">
        <v>186</v>
      </c>
      <c r="O51" s="5" t="s">
        <v>17</v>
      </c>
      <c r="P51" s="5" t="s">
        <v>20</v>
      </c>
      <c r="Q51" s="5" t="s">
        <v>19</v>
      </c>
    </row>
    <row r="52" spans="1:17" ht="182">
      <c r="A52" s="14" t="s">
        <v>215</v>
      </c>
      <c r="B52" s="19" t="s">
        <v>35</v>
      </c>
      <c r="C52" s="5" t="s">
        <v>21</v>
      </c>
      <c r="D52" s="5">
        <v>5</v>
      </c>
      <c r="E52" s="4" t="s">
        <v>216</v>
      </c>
      <c r="F52" s="4" t="s">
        <v>63</v>
      </c>
      <c r="G52" s="4" t="s">
        <v>217</v>
      </c>
      <c r="H52" s="4" t="s">
        <v>49</v>
      </c>
      <c r="I52" s="4" t="s">
        <v>218</v>
      </c>
      <c r="J52" s="4" t="s">
        <v>219</v>
      </c>
      <c r="K52" s="5">
        <v>2</v>
      </c>
      <c r="L52" s="5" t="s">
        <v>16</v>
      </c>
      <c r="M52" s="5">
        <v>1</v>
      </c>
      <c r="N52" s="4" t="s">
        <v>220</v>
      </c>
      <c r="O52" s="5" t="s">
        <v>22</v>
      </c>
      <c r="P52" s="5" t="s">
        <v>23</v>
      </c>
      <c r="Q52" s="5" t="s">
        <v>19</v>
      </c>
    </row>
    <row r="53" spans="1:17" ht="195.5" thickBot="1">
      <c r="A53" s="14" t="s">
        <v>221</v>
      </c>
      <c r="B53" s="19" t="s">
        <v>35</v>
      </c>
      <c r="C53" s="5" t="s">
        <v>21</v>
      </c>
      <c r="D53" s="5">
        <v>4</v>
      </c>
      <c r="E53" s="4" t="s">
        <v>222</v>
      </c>
      <c r="F53" s="4" t="s">
        <v>47</v>
      </c>
      <c r="G53" s="4" t="s">
        <v>223</v>
      </c>
      <c r="H53" s="4" t="s">
        <v>49</v>
      </c>
      <c r="I53" s="4" t="s">
        <v>218</v>
      </c>
      <c r="J53" s="4" t="s">
        <v>219</v>
      </c>
      <c r="K53" s="5">
        <v>2</v>
      </c>
      <c r="L53" s="5" t="s">
        <v>16</v>
      </c>
      <c r="M53" s="5">
        <v>1</v>
      </c>
      <c r="N53" s="4" t="s">
        <v>220</v>
      </c>
      <c r="O53" s="5" t="s">
        <v>17</v>
      </c>
      <c r="P53" s="5" t="s">
        <v>23</v>
      </c>
      <c r="Q53" s="5" t="s">
        <v>19</v>
      </c>
    </row>
    <row r="54" spans="1:17" ht="182">
      <c r="A54" s="12" t="s">
        <v>224</v>
      </c>
      <c r="B54" s="18" t="s">
        <v>35</v>
      </c>
      <c r="C54" s="3" t="s">
        <v>21</v>
      </c>
      <c r="D54" s="3">
        <v>4</v>
      </c>
      <c r="E54" s="2" t="s">
        <v>225</v>
      </c>
      <c r="F54" s="2" t="s">
        <v>55</v>
      </c>
      <c r="G54" s="2" t="s">
        <v>226</v>
      </c>
      <c r="H54" s="2" t="s">
        <v>49</v>
      </c>
      <c r="I54" s="2" t="s">
        <v>218</v>
      </c>
      <c r="J54" s="2" t="s">
        <v>219</v>
      </c>
      <c r="K54" s="3">
        <v>2</v>
      </c>
      <c r="L54" s="3" t="s">
        <v>16</v>
      </c>
      <c r="M54" s="3">
        <v>1</v>
      </c>
      <c r="N54" s="2" t="s">
        <v>220</v>
      </c>
      <c r="O54" s="3" t="s">
        <v>17</v>
      </c>
      <c r="P54" s="3" t="s">
        <v>23</v>
      </c>
      <c r="Q54" s="3" t="s">
        <v>19</v>
      </c>
    </row>
    <row r="55" spans="1:17" ht="182">
      <c r="A55" s="14" t="s">
        <v>227</v>
      </c>
      <c r="B55" s="19" t="s">
        <v>35</v>
      </c>
      <c r="C55" s="5" t="s">
        <v>21</v>
      </c>
      <c r="D55" s="5">
        <v>5</v>
      </c>
      <c r="E55" s="4" t="s">
        <v>228</v>
      </c>
      <c r="F55" s="4" t="s">
        <v>59</v>
      </c>
      <c r="G55" s="4" t="s">
        <v>229</v>
      </c>
      <c r="H55" s="4" t="s">
        <v>49</v>
      </c>
      <c r="I55" s="4" t="s">
        <v>218</v>
      </c>
      <c r="J55" s="4" t="s">
        <v>219</v>
      </c>
      <c r="K55" s="5">
        <v>2</v>
      </c>
      <c r="L55" s="5" t="s">
        <v>16</v>
      </c>
      <c r="M55" s="5">
        <v>1</v>
      </c>
      <c r="N55" s="4" t="s">
        <v>220</v>
      </c>
      <c r="O55" s="5" t="s">
        <v>22</v>
      </c>
      <c r="P55" s="5" t="s">
        <v>23</v>
      </c>
      <c r="Q55" s="5" t="s">
        <v>19</v>
      </c>
    </row>
    <row r="56" spans="1:17" ht="195">
      <c r="A56" s="14" t="s">
        <v>230</v>
      </c>
      <c r="B56" s="19" t="s">
        <v>35</v>
      </c>
      <c r="C56" s="5" t="s">
        <v>21</v>
      </c>
      <c r="D56" s="5">
        <v>4</v>
      </c>
      <c r="E56" s="4" t="s">
        <v>231</v>
      </c>
      <c r="F56" s="4" t="s">
        <v>63</v>
      </c>
      <c r="G56" s="4" t="s">
        <v>232</v>
      </c>
      <c r="H56" s="4" t="s">
        <v>49</v>
      </c>
      <c r="I56" s="4" t="s">
        <v>218</v>
      </c>
      <c r="J56" s="4" t="s">
        <v>219</v>
      </c>
      <c r="K56" s="5">
        <v>2</v>
      </c>
      <c r="L56" s="5" t="s">
        <v>16</v>
      </c>
      <c r="M56" s="5">
        <v>1</v>
      </c>
      <c r="N56" s="4" t="s">
        <v>220</v>
      </c>
      <c r="O56" s="5" t="s">
        <v>17</v>
      </c>
      <c r="P56" s="5" t="s">
        <v>23</v>
      </c>
      <c r="Q56" s="5" t="s">
        <v>19</v>
      </c>
    </row>
    <row r="57" spans="1:17" ht="195">
      <c r="A57" s="14" t="s">
        <v>233</v>
      </c>
      <c r="B57" s="19" t="s">
        <v>35</v>
      </c>
      <c r="C57" s="5" t="s">
        <v>21</v>
      </c>
      <c r="D57" s="5">
        <v>4</v>
      </c>
      <c r="E57" s="4" t="s">
        <v>234</v>
      </c>
      <c r="F57" s="4" t="s">
        <v>47</v>
      </c>
      <c r="G57" s="4" t="s">
        <v>235</v>
      </c>
      <c r="H57" s="4" t="s">
        <v>49</v>
      </c>
      <c r="I57" s="4" t="s">
        <v>218</v>
      </c>
      <c r="J57" s="4" t="s">
        <v>219</v>
      </c>
      <c r="K57" s="5">
        <v>2</v>
      </c>
      <c r="L57" s="5" t="s">
        <v>16</v>
      </c>
      <c r="M57" s="5">
        <v>1</v>
      </c>
      <c r="N57" s="4" t="s">
        <v>220</v>
      </c>
      <c r="O57" s="5" t="s">
        <v>17</v>
      </c>
      <c r="P57" s="5" t="s">
        <v>23</v>
      </c>
      <c r="Q57" s="5" t="s">
        <v>19</v>
      </c>
    </row>
    <row r="58" spans="1:17" ht="52">
      <c r="A58" s="14" t="s">
        <v>236</v>
      </c>
      <c r="B58" s="19" t="s">
        <v>35</v>
      </c>
      <c r="C58" s="5" t="s">
        <v>237</v>
      </c>
      <c r="D58" s="5">
        <v>5</v>
      </c>
      <c r="E58" s="4" t="s">
        <v>238</v>
      </c>
      <c r="F58" s="4" t="s">
        <v>70</v>
      </c>
      <c r="G58" s="4" t="s">
        <v>239</v>
      </c>
      <c r="H58" s="4" t="s">
        <v>72</v>
      </c>
      <c r="I58" s="4" t="s">
        <v>218</v>
      </c>
      <c r="J58" s="4" t="s">
        <v>219</v>
      </c>
      <c r="K58" s="5">
        <v>9</v>
      </c>
      <c r="L58" s="5" t="s">
        <v>16</v>
      </c>
      <c r="M58" s="5">
        <v>1</v>
      </c>
      <c r="N58" s="4" t="s">
        <v>220</v>
      </c>
      <c r="O58" s="5" t="s">
        <v>22</v>
      </c>
      <c r="P58" s="5" t="s">
        <v>20</v>
      </c>
      <c r="Q58" s="5" t="s">
        <v>19</v>
      </c>
    </row>
    <row r="59" spans="1:17" ht="52">
      <c r="A59" s="14" t="s">
        <v>240</v>
      </c>
      <c r="B59" s="19" t="s">
        <v>35</v>
      </c>
      <c r="C59" s="5" t="s">
        <v>27</v>
      </c>
      <c r="D59" s="5">
        <v>4</v>
      </c>
      <c r="E59" s="4" t="s">
        <v>241</v>
      </c>
      <c r="F59" s="4" t="s">
        <v>70</v>
      </c>
      <c r="G59" s="4" t="s">
        <v>242</v>
      </c>
      <c r="H59" s="4" t="s">
        <v>72</v>
      </c>
      <c r="I59" s="4" t="s">
        <v>218</v>
      </c>
      <c r="J59" s="4" t="s">
        <v>219</v>
      </c>
      <c r="K59" s="5">
        <v>7</v>
      </c>
      <c r="L59" s="5" t="s">
        <v>16</v>
      </c>
      <c r="M59" s="5">
        <v>1</v>
      </c>
      <c r="N59" s="4" t="s">
        <v>220</v>
      </c>
      <c r="O59" s="5" t="s">
        <v>17</v>
      </c>
      <c r="P59" s="5" t="s">
        <v>20</v>
      </c>
      <c r="Q59" s="5" t="s">
        <v>19</v>
      </c>
    </row>
    <row r="60" spans="1:17" ht="52">
      <c r="A60" s="14" t="s">
        <v>243</v>
      </c>
      <c r="B60" s="19" t="s">
        <v>35</v>
      </c>
      <c r="C60" s="5" t="s">
        <v>28</v>
      </c>
      <c r="D60" s="5">
        <v>4</v>
      </c>
      <c r="E60" s="4" t="s">
        <v>244</v>
      </c>
      <c r="F60" s="4" t="s">
        <v>70</v>
      </c>
      <c r="G60" s="4" t="s">
        <v>245</v>
      </c>
      <c r="H60" s="4" t="s">
        <v>72</v>
      </c>
      <c r="I60" s="4" t="s">
        <v>218</v>
      </c>
      <c r="J60" s="4" t="s">
        <v>219</v>
      </c>
      <c r="K60" s="5">
        <v>7</v>
      </c>
      <c r="L60" s="5" t="s">
        <v>16</v>
      </c>
      <c r="M60" s="5">
        <v>1</v>
      </c>
      <c r="N60" s="4" t="s">
        <v>220</v>
      </c>
      <c r="O60" s="5" t="s">
        <v>17</v>
      </c>
      <c r="P60" s="5" t="s">
        <v>20</v>
      </c>
      <c r="Q60" s="5" t="s">
        <v>19</v>
      </c>
    </row>
    <row r="61" spans="1:17" ht="52">
      <c r="A61" s="14" t="s">
        <v>246</v>
      </c>
      <c r="B61" s="19" t="s">
        <v>35</v>
      </c>
      <c r="C61" s="5" t="s">
        <v>177</v>
      </c>
      <c r="D61" s="5">
        <v>4</v>
      </c>
      <c r="E61" s="4" t="s">
        <v>247</v>
      </c>
      <c r="F61" s="4" t="s">
        <v>70</v>
      </c>
      <c r="G61" s="4" t="s">
        <v>248</v>
      </c>
      <c r="H61" s="4" t="s">
        <v>72</v>
      </c>
      <c r="I61" s="4" t="s">
        <v>218</v>
      </c>
      <c r="J61" s="4" t="s">
        <v>219</v>
      </c>
      <c r="K61" s="5">
        <v>7</v>
      </c>
      <c r="L61" s="5" t="s">
        <v>16</v>
      </c>
      <c r="M61" s="5">
        <v>1</v>
      </c>
      <c r="N61" s="4" t="s">
        <v>220</v>
      </c>
      <c r="O61" s="5" t="s">
        <v>17</v>
      </c>
      <c r="P61" s="5" t="s">
        <v>18</v>
      </c>
      <c r="Q61" s="5" t="s">
        <v>19</v>
      </c>
    </row>
    <row r="62" spans="1:17" ht="182">
      <c r="A62" s="14" t="s">
        <v>249</v>
      </c>
      <c r="B62" s="19" t="s">
        <v>250</v>
      </c>
      <c r="C62" s="5" t="s">
        <v>21</v>
      </c>
      <c r="D62" s="5">
        <v>5</v>
      </c>
      <c r="E62" s="4" t="s">
        <v>251</v>
      </c>
      <c r="F62" s="4" t="s">
        <v>59</v>
      </c>
      <c r="G62" s="4" t="s">
        <v>252</v>
      </c>
      <c r="H62" s="4" t="s">
        <v>49</v>
      </c>
      <c r="I62" s="4" t="s">
        <v>253</v>
      </c>
      <c r="J62" s="4" t="s">
        <v>254</v>
      </c>
      <c r="K62" s="5">
        <v>2</v>
      </c>
      <c r="L62" s="5" t="s">
        <v>16</v>
      </c>
      <c r="M62" s="5">
        <v>1</v>
      </c>
      <c r="N62" s="4" t="s">
        <v>255</v>
      </c>
      <c r="O62" s="5" t="s">
        <v>22</v>
      </c>
      <c r="P62" s="5" t="s">
        <v>23</v>
      </c>
      <c r="Q62" s="5" t="s">
        <v>19</v>
      </c>
    </row>
    <row r="63" spans="1:17" ht="195">
      <c r="A63" s="14" t="s">
        <v>256</v>
      </c>
      <c r="B63" s="19" t="s">
        <v>250</v>
      </c>
      <c r="C63" s="5" t="s">
        <v>21</v>
      </c>
      <c r="D63" s="5">
        <v>4</v>
      </c>
      <c r="E63" s="4" t="s">
        <v>257</v>
      </c>
      <c r="F63" s="4" t="s">
        <v>63</v>
      </c>
      <c r="G63" s="4" t="s">
        <v>258</v>
      </c>
      <c r="H63" s="4" t="s">
        <v>49</v>
      </c>
      <c r="I63" s="4" t="s">
        <v>253</v>
      </c>
      <c r="J63" s="4" t="s">
        <v>254</v>
      </c>
      <c r="K63" s="5">
        <v>2</v>
      </c>
      <c r="L63" s="5" t="s">
        <v>16</v>
      </c>
      <c r="M63" s="5">
        <v>1</v>
      </c>
      <c r="N63" s="4" t="s">
        <v>255</v>
      </c>
      <c r="O63" s="5" t="s">
        <v>17</v>
      </c>
      <c r="P63" s="5" t="s">
        <v>23</v>
      </c>
      <c r="Q63" s="5" t="s">
        <v>19</v>
      </c>
    </row>
    <row r="64" spans="1:17" ht="195">
      <c r="A64" s="14" t="s">
        <v>259</v>
      </c>
      <c r="B64" s="19" t="s">
        <v>250</v>
      </c>
      <c r="C64" s="5" t="s">
        <v>21</v>
      </c>
      <c r="D64" s="5">
        <v>4</v>
      </c>
      <c r="E64" s="4" t="s">
        <v>260</v>
      </c>
      <c r="F64" s="4" t="s">
        <v>47</v>
      </c>
      <c r="G64" s="4" t="s">
        <v>261</v>
      </c>
      <c r="H64" s="4" t="s">
        <v>49</v>
      </c>
      <c r="I64" s="4" t="s">
        <v>253</v>
      </c>
      <c r="J64" s="4" t="s">
        <v>254</v>
      </c>
      <c r="K64" s="5">
        <v>2</v>
      </c>
      <c r="L64" s="5" t="s">
        <v>16</v>
      </c>
      <c r="M64" s="5">
        <v>1</v>
      </c>
      <c r="N64" s="4" t="s">
        <v>255</v>
      </c>
      <c r="O64" s="5" t="s">
        <v>17</v>
      </c>
      <c r="P64" s="5" t="s">
        <v>23</v>
      </c>
      <c r="Q64" s="5" t="s">
        <v>19</v>
      </c>
    </row>
    <row r="65" spans="1:17" ht="195">
      <c r="A65" s="14" t="s">
        <v>262</v>
      </c>
      <c r="B65" s="19" t="s">
        <v>250</v>
      </c>
      <c r="C65" s="5" t="s">
        <v>21</v>
      </c>
      <c r="D65" s="5">
        <v>5</v>
      </c>
      <c r="E65" s="4" t="s">
        <v>263</v>
      </c>
      <c r="F65" s="4" t="s">
        <v>55</v>
      </c>
      <c r="G65" s="4" t="s">
        <v>264</v>
      </c>
      <c r="H65" s="4" t="s">
        <v>49</v>
      </c>
      <c r="I65" s="4" t="s">
        <v>253</v>
      </c>
      <c r="J65" s="4" t="s">
        <v>254</v>
      </c>
      <c r="K65" s="5">
        <v>2</v>
      </c>
      <c r="L65" s="5" t="s">
        <v>16</v>
      </c>
      <c r="M65" s="5">
        <v>1</v>
      </c>
      <c r="N65" s="4" t="s">
        <v>255</v>
      </c>
      <c r="O65" s="5" t="s">
        <v>22</v>
      </c>
      <c r="P65" s="5" t="s">
        <v>23</v>
      </c>
      <c r="Q65" s="5" t="s">
        <v>19</v>
      </c>
    </row>
    <row r="66" spans="1:17" ht="195">
      <c r="A66" s="14" t="s">
        <v>265</v>
      </c>
      <c r="B66" s="19" t="s">
        <v>250</v>
      </c>
      <c r="C66" s="5" t="s">
        <v>21</v>
      </c>
      <c r="D66" s="5">
        <v>4</v>
      </c>
      <c r="E66" s="4" t="s">
        <v>266</v>
      </c>
      <c r="F66" s="4" t="s">
        <v>59</v>
      </c>
      <c r="G66" s="4" t="s">
        <v>267</v>
      </c>
      <c r="H66" s="4" t="s">
        <v>49</v>
      </c>
      <c r="I66" s="4" t="s">
        <v>253</v>
      </c>
      <c r="J66" s="4" t="s">
        <v>254</v>
      </c>
      <c r="K66" s="5">
        <v>2</v>
      </c>
      <c r="L66" s="5" t="s">
        <v>16</v>
      </c>
      <c r="M66" s="5">
        <v>1</v>
      </c>
      <c r="N66" s="4" t="s">
        <v>255</v>
      </c>
      <c r="O66" s="5" t="s">
        <v>17</v>
      </c>
      <c r="P66" s="5" t="s">
        <v>23</v>
      </c>
      <c r="Q66" s="5" t="s">
        <v>19</v>
      </c>
    </row>
    <row r="67" spans="1:17" ht="195.5" thickBot="1">
      <c r="A67" s="14" t="s">
        <v>268</v>
      </c>
      <c r="B67" s="19" t="s">
        <v>250</v>
      </c>
      <c r="C67" s="5" t="s">
        <v>21</v>
      </c>
      <c r="D67" s="5">
        <v>4</v>
      </c>
      <c r="E67" s="4" t="s">
        <v>269</v>
      </c>
      <c r="F67" s="4" t="s">
        <v>63</v>
      </c>
      <c r="G67" s="4" t="s">
        <v>270</v>
      </c>
      <c r="H67" s="4" t="s">
        <v>49</v>
      </c>
      <c r="I67" s="4" t="s">
        <v>253</v>
      </c>
      <c r="J67" s="4" t="s">
        <v>254</v>
      </c>
      <c r="K67" s="5">
        <v>2</v>
      </c>
      <c r="L67" s="5" t="s">
        <v>16</v>
      </c>
      <c r="M67" s="5">
        <v>1</v>
      </c>
      <c r="N67" s="4" t="s">
        <v>255</v>
      </c>
      <c r="O67" s="5" t="s">
        <v>17</v>
      </c>
      <c r="P67" s="5" t="s">
        <v>23</v>
      </c>
      <c r="Q67" s="5" t="s">
        <v>19</v>
      </c>
    </row>
    <row r="68" spans="1:17" ht="52">
      <c r="A68" s="12" t="s">
        <v>271</v>
      </c>
      <c r="B68" s="18" t="s">
        <v>250</v>
      </c>
      <c r="C68" s="3" t="s">
        <v>272</v>
      </c>
      <c r="D68" s="3">
        <v>5</v>
      </c>
      <c r="E68" s="2" t="s">
        <v>273</v>
      </c>
      <c r="F68" s="2" t="s">
        <v>70</v>
      </c>
      <c r="G68" s="2" t="s">
        <v>274</v>
      </c>
      <c r="H68" s="2" t="s">
        <v>72</v>
      </c>
      <c r="I68" s="2" t="s">
        <v>253</v>
      </c>
      <c r="J68" s="2" t="s">
        <v>254</v>
      </c>
      <c r="K68" s="3">
        <v>9</v>
      </c>
      <c r="L68" s="3" t="s">
        <v>16</v>
      </c>
      <c r="M68" s="3">
        <v>1</v>
      </c>
      <c r="N68" s="2" t="s">
        <v>255</v>
      </c>
      <c r="O68" s="3" t="s">
        <v>22</v>
      </c>
      <c r="P68" s="3" t="s">
        <v>20</v>
      </c>
      <c r="Q68" s="3" t="s">
        <v>19</v>
      </c>
    </row>
    <row r="69" spans="1:17" ht="52">
      <c r="A69" s="14" t="s">
        <v>275</v>
      </c>
      <c r="B69" s="19" t="s">
        <v>250</v>
      </c>
      <c r="C69" s="5" t="s">
        <v>28</v>
      </c>
      <c r="D69" s="5">
        <v>4</v>
      </c>
      <c r="E69" s="4" t="s">
        <v>276</v>
      </c>
      <c r="F69" s="4" t="s">
        <v>70</v>
      </c>
      <c r="G69" s="4" t="s">
        <v>277</v>
      </c>
      <c r="H69" s="4" t="s">
        <v>72</v>
      </c>
      <c r="I69" s="4" t="s">
        <v>253</v>
      </c>
      <c r="J69" s="4" t="s">
        <v>254</v>
      </c>
      <c r="K69" s="5">
        <v>7</v>
      </c>
      <c r="L69" s="5" t="s">
        <v>16</v>
      </c>
      <c r="M69" s="5">
        <v>1</v>
      </c>
      <c r="N69" s="4" t="s">
        <v>255</v>
      </c>
      <c r="O69" s="5" t="s">
        <v>17</v>
      </c>
      <c r="P69" s="5" t="s">
        <v>20</v>
      </c>
      <c r="Q69" s="5" t="s">
        <v>19</v>
      </c>
    </row>
    <row r="70" spans="1:17" ht="52">
      <c r="A70" s="14" t="s">
        <v>278</v>
      </c>
      <c r="B70" s="19" t="s">
        <v>250</v>
      </c>
      <c r="C70" s="5" t="s">
        <v>27</v>
      </c>
      <c r="D70" s="5">
        <v>4</v>
      </c>
      <c r="E70" s="4" t="s">
        <v>279</v>
      </c>
      <c r="F70" s="4" t="s">
        <v>70</v>
      </c>
      <c r="G70" s="4" t="s">
        <v>280</v>
      </c>
      <c r="H70" s="4" t="s">
        <v>72</v>
      </c>
      <c r="I70" s="4" t="s">
        <v>253</v>
      </c>
      <c r="J70" s="4" t="s">
        <v>254</v>
      </c>
      <c r="K70" s="5">
        <v>7</v>
      </c>
      <c r="L70" s="5" t="s">
        <v>16</v>
      </c>
      <c r="M70" s="5">
        <v>1</v>
      </c>
      <c r="N70" s="4" t="s">
        <v>255</v>
      </c>
      <c r="O70" s="5" t="s">
        <v>17</v>
      </c>
      <c r="P70" s="5" t="s">
        <v>20</v>
      </c>
      <c r="Q70" s="5" t="s">
        <v>19</v>
      </c>
    </row>
    <row r="71" spans="1:17" ht="52">
      <c r="A71" s="14" t="s">
        <v>281</v>
      </c>
      <c r="B71" s="19" t="s">
        <v>250</v>
      </c>
      <c r="C71" s="5" t="s">
        <v>26</v>
      </c>
      <c r="D71" s="5">
        <v>4</v>
      </c>
      <c r="E71" s="4" t="s">
        <v>282</v>
      </c>
      <c r="F71" s="4" t="s">
        <v>70</v>
      </c>
      <c r="G71" s="4" t="s">
        <v>283</v>
      </c>
      <c r="H71" s="4" t="s">
        <v>72</v>
      </c>
      <c r="I71" s="4" t="s">
        <v>253</v>
      </c>
      <c r="J71" s="4" t="s">
        <v>254</v>
      </c>
      <c r="K71" s="5">
        <v>7</v>
      </c>
      <c r="L71" s="5" t="s">
        <v>16</v>
      </c>
      <c r="M71" s="5">
        <v>1</v>
      </c>
      <c r="N71" s="4" t="s">
        <v>255</v>
      </c>
      <c r="O71" s="5" t="s">
        <v>17</v>
      </c>
      <c r="P71" s="5" t="s">
        <v>20</v>
      </c>
      <c r="Q71" s="5" t="s">
        <v>19</v>
      </c>
    </row>
    <row r="72" spans="1:17" ht="195">
      <c r="A72" s="14" t="s">
        <v>284</v>
      </c>
      <c r="B72" s="19" t="s">
        <v>24</v>
      </c>
      <c r="C72" s="5" t="s">
        <v>21</v>
      </c>
      <c r="D72" s="5">
        <v>5</v>
      </c>
      <c r="E72" s="4" t="s">
        <v>285</v>
      </c>
      <c r="F72" s="4" t="s">
        <v>55</v>
      </c>
      <c r="G72" s="4" t="s">
        <v>286</v>
      </c>
      <c r="H72" s="4" t="s">
        <v>49</v>
      </c>
      <c r="I72" s="4" t="s">
        <v>287</v>
      </c>
      <c r="J72" s="4" t="s">
        <v>288</v>
      </c>
      <c r="K72" s="5">
        <v>2</v>
      </c>
      <c r="L72" s="5" t="s">
        <v>16</v>
      </c>
      <c r="M72" s="5">
        <v>1</v>
      </c>
      <c r="N72" s="4" t="s">
        <v>289</v>
      </c>
      <c r="O72" s="5" t="s">
        <v>22</v>
      </c>
      <c r="P72" s="5" t="s">
        <v>23</v>
      </c>
      <c r="Q72" s="5" t="s">
        <v>19</v>
      </c>
    </row>
    <row r="73" spans="1:17" ht="195">
      <c r="A73" s="14" t="s">
        <v>290</v>
      </c>
      <c r="B73" s="19" t="s">
        <v>24</v>
      </c>
      <c r="C73" s="5" t="s">
        <v>21</v>
      </c>
      <c r="D73" s="5">
        <v>4</v>
      </c>
      <c r="E73" s="4" t="s">
        <v>291</v>
      </c>
      <c r="F73" s="4" t="s">
        <v>59</v>
      </c>
      <c r="G73" s="4" t="s">
        <v>292</v>
      </c>
      <c r="H73" s="4" t="s">
        <v>49</v>
      </c>
      <c r="I73" s="4" t="s">
        <v>287</v>
      </c>
      <c r="J73" s="4" t="s">
        <v>288</v>
      </c>
      <c r="K73" s="5">
        <v>2</v>
      </c>
      <c r="L73" s="5" t="s">
        <v>16</v>
      </c>
      <c r="M73" s="5">
        <v>1</v>
      </c>
      <c r="N73" s="4" t="s">
        <v>289</v>
      </c>
      <c r="O73" s="5" t="s">
        <v>17</v>
      </c>
      <c r="P73" s="5" t="s">
        <v>23</v>
      </c>
      <c r="Q73" s="5" t="s">
        <v>19</v>
      </c>
    </row>
    <row r="74" spans="1:17" ht="195">
      <c r="A74" s="14" t="s">
        <v>293</v>
      </c>
      <c r="B74" s="19" t="s">
        <v>24</v>
      </c>
      <c r="C74" s="5" t="s">
        <v>21</v>
      </c>
      <c r="D74" s="5">
        <v>4</v>
      </c>
      <c r="E74" s="4" t="s">
        <v>294</v>
      </c>
      <c r="F74" s="4" t="s">
        <v>63</v>
      </c>
      <c r="G74" s="4" t="s">
        <v>295</v>
      </c>
      <c r="H74" s="4" t="s">
        <v>49</v>
      </c>
      <c r="I74" s="4" t="s">
        <v>287</v>
      </c>
      <c r="J74" s="4" t="s">
        <v>288</v>
      </c>
      <c r="K74" s="5">
        <v>2</v>
      </c>
      <c r="L74" s="5" t="s">
        <v>16</v>
      </c>
      <c r="M74" s="5">
        <v>1</v>
      </c>
      <c r="N74" s="4" t="s">
        <v>289</v>
      </c>
      <c r="O74" s="5" t="s">
        <v>17</v>
      </c>
      <c r="P74" s="5" t="s">
        <v>23</v>
      </c>
      <c r="Q74" s="5" t="s">
        <v>19</v>
      </c>
    </row>
    <row r="75" spans="1:17" ht="182">
      <c r="A75" s="14" t="s">
        <v>296</v>
      </c>
      <c r="B75" s="19" t="s">
        <v>24</v>
      </c>
      <c r="C75" s="5" t="s">
        <v>21</v>
      </c>
      <c r="D75" s="5">
        <v>5</v>
      </c>
      <c r="E75" s="4" t="s">
        <v>297</v>
      </c>
      <c r="F75" s="4" t="s">
        <v>47</v>
      </c>
      <c r="G75" s="4" t="s">
        <v>298</v>
      </c>
      <c r="H75" s="4" t="s">
        <v>49</v>
      </c>
      <c r="I75" s="4" t="s">
        <v>287</v>
      </c>
      <c r="J75" s="4" t="s">
        <v>288</v>
      </c>
      <c r="K75" s="5">
        <v>2</v>
      </c>
      <c r="L75" s="5" t="s">
        <v>16</v>
      </c>
      <c r="M75" s="5">
        <v>1</v>
      </c>
      <c r="N75" s="4" t="s">
        <v>289</v>
      </c>
      <c r="O75" s="5" t="s">
        <v>22</v>
      </c>
      <c r="P75" s="5" t="s">
        <v>23</v>
      </c>
      <c r="Q75" s="5" t="s">
        <v>19</v>
      </c>
    </row>
    <row r="76" spans="1:17" ht="182">
      <c r="A76" s="14" t="s">
        <v>299</v>
      </c>
      <c r="B76" s="19" t="s">
        <v>24</v>
      </c>
      <c r="C76" s="5" t="s">
        <v>21</v>
      </c>
      <c r="D76" s="5">
        <v>4</v>
      </c>
      <c r="E76" s="4" t="s">
        <v>300</v>
      </c>
      <c r="F76" s="4" t="s">
        <v>55</v>
      </c>
      <c r="G76" s="4" t="s">
        <v>301</v>
      </c>
      <c r="H76" s="4" t="s">
        <v>49</v>
      </c>
      <c r="I76" s="4" t="s">
        <v>287</v>
      </c>
      <c r="J76" s="4" t="s">
        <v>288</v>
      </c>
      <c r="K76" s="5">
        <v>2</v>
      </c>
      <c r="L76" s="5" t="s">
        <v>16</v>
      </c>
      <c r="M76" s="5">
        <v>1</v>
      </c>
      <c r="N76" s="4" t="s">
        <v>289</v>
      </c>
      <c r="O76" s="5" t="s">
        <v>17</v>
      </c>
      <c r="P76" s="5" t="s">
        <v>23</v>
      </c>
      <c r="Q76" s="5" t="s">
        <v>19</v>
      </c>
    </row>
    <row r="77" spans="1:17" ht="195">
      <c r="A77" s="14" t="s">
        <v>302</v>
      </c>
      <c r="B77" s="19" t="s">
        <v>24</v>
      </c>
      <c r="C77" s="5" t="s">
        <v>21</v>
      </c>
      <c r="D77" s="5">
        <v>4</v>
      </c>
      <c r="E77" s="4" t="s">
        <v>303</v>
      </c>
      <c r="F77" s="4" t="s">
        <v>59</v>
      </c>
      <c r="G77" s="4" t="s">
        <v>304</v>
      </c>
      <c r="H77" s="4" t="s">
        <v>49</v>
      </c>
      <c r="I77" s="4" t="s">
        <v>287</v>
      </c>
      <c r="J77" s="4" t="s">
        <v>288</v>
      </c>
      <c r="K77" s="5">
        <v>2</v>
      </c>
      <c r="L77" s="5" t="s">
        <v>16</v>
      </c>
      <c r="M77" s="5">
        <v>1</v>
      </c>
      <c r="N77" s="4" t="s">
        <v>289</v>
      </c>
      <c r="O77" s="5" t="s">
        <v>17</v>
      </c>
      <c r="P77" s="5" t="s">
        <v>23</v>
      </c>
      <c r="Q77" s="5" t="s">
        <v>19</v>
      </c>
    </row>
    <row r="78" spans="1:17" ht="52">
      <c r="A78" s="14" t="s">
        <v>305</v>
      </c>
      <c r="B78" s="19" t="s">
        <v>24</v>
      </c>
      <c r="C78" s="5" t="s">
        <v>306</v>
      </c>
      <c r="D78" s="5">
        <v>5</v>
      </c>
      <c r="E78" s="4" t="s">
        <v>307</v>
      </c>
      <c r="F78" s="4" t="s">
        <v>70</v>
      </c>
      <c r="G78" s="4" t="s">
        <v>308</v>
      </c>
      <c r="H78" s="4" t="s">
        <v>72</v>
      </c>
      <c r="I78" s="4" t="s">
        <v>287</v>
      </c>
      <c r="J78" s="4" t="s">
        <v>288</v>
      </c>
      <c r="K78" s="5">
        <v>9</v>
      </c>
      <c r="L78" s="5" t="s">
        <v>16</v>
      </c>
      <c r="M78" s="5">
        <v>1</v>
      </c>
      <c r="N78" s="4" t="s">
        <v>289</v>
      </c>
      <c r="O78" s="5" t="s">
        <v>22</v>
      </c>
      <c r="P78" s="5" t="s">
        <v>20</v>
      </c>
      <c r="Q78" s="5" t="s">
        <v>19</v>
      </c>
    </row>
    <row r="79" spans="1:17" ht="52">
      <c r="A79" s="14" t="s">
        <v>309</v>
      </c>
      <c r="B79" s="19" t="s">
        <v>24</v>
      </c>
      <c r="C79" s="5" t="s">
        <v>74</v>
      </c>
      <c r="D79" s="5">
        <v>4</v>
      </c>
      <c r="E79" s="4" t="s">
        <v>310</v>
      </c>
      <c r="F79" s="4" t="s">
        <v>70</v>
      </c>
      <c r="G79" s="4" t="s">
        <v>311</v>
      </c>
      <c r="H79" s="4" t="s">
        <v>72</v>
      </c>
      <c r="I79" s="4" t="s">
        <v>287</v>
      </c>
      <c r="J79" s="4" t="s">
        <v>288</v>
      </c>
      <c r="K79" s="5">
        <v>7</v>
      </c>
      <c r="L79" s="5" t="s">
        <v>16</v>
      </c>
      <c r="M79" s="5">
        <v>1</v>
      </c>
      <c r="N79" s="4" t="s">
        <v>289</v>
      </c>
      <c r="O79" s="5" t="s">
        <v>17</v>
      </c>
      <c r="P79" s="5" t="s">
        <v>20</v>
      </c>
      <c r="Q79" s="5" t="s">
        <v>19</v>
      </c>
    </row>
    <row r="80" spans="1:17" ht="52">
      <c r="A80" s="14" t="s">
        <v>312</v>
      </c>
      <c r="B80" s="19" t="s">
        <v>24</v>
      </c>
      <c r="C80" s="5" t="s">
        <v>28</v>
      </c>
      <c r="D80" s="5">
        <v>4</v>
      </c>
      <c r="E80" s="4" t="s">
        <v>313</v>
      </c>
      <c r="F80" s="4" t="s">
        <v>70</v>
      </c>
      <c r="G80" s="4" t="s">
        <v>314</v>
      </c>
      <c r="H80" s="4" t="s">
        <v>72</v>
      </c>
      <c r="I80" s="4" t="s">
        <v>287</v>
      </c>
      <c r="J80" s="4" t="s">
        <v>288</v>
      </c>
      <c r="K80" s="5">
        <v>7</v>
      </c>
      <c r="L80" s="5" t="s">
        <v>16</v>
      </c>
      <c r="M80" s="5">
        <v>1</v>
      </c>
      <c r="N80" s="4" t="s">
        <v>289</v>
      </c>
      <c r="O80" s="5" t="s">
        <v>17</v>
      </c>
      <c r="P80" s="5" t="s">
        <v>20</v>
      </c>
      <c r="Q80" s="5" t="s">
        <v>19</v>
      </c>
    </row>
    <row r="81" spans="1:17" ht="52">
      <c r="A81" s="14" t="s">
        <v>315</v>
      </c>
      <c r="B81" s="19" t="s">
        <v>24</v>
      </c>
      <c r="C81" s="5" t="s">
        <v>26</v>
      </c>
      <c r="D81" s="5">
        <v>4</v>
      </c>
      <c r="E81" s="4" t="s">
        <v>316</v>
      </c>
      <c r="F81" s="4" t="s">
        <v>70</v>
      </c>
      <c r="G81" s="4" t="s">
        <v>317</v>
      </c>
      <c r="H81" s="4" t="s">
        <v>72</v>
      </c>
      <c r="I81" s="4" t="s">
        <v>287</v>
      </c>
      <c r="J81" s="4" t="s">
        <v>288</v>
      </c>
      <c r="K81" s="5">
        <v>7</v>
      </c>
      <c r="L81" s="5" t="s">
        <v>16</v>
      </c>
      <c r="M81" s="5">
        <v>1</v>
      </c>
      <c r="N81" s="4" t="s">
        <v>289</v>
      </c>
      <c r="O81" s="5" t="s">
        <v>17</v>
      </c>
      <c r="P81" s="5" t="s">
        <v>20</v>
      </c>
      <c r="Q81" s="5" t="s">
        <v>19</v>
      </c>
    </row>
    <row r="82" spans="1:17" ht="195">
      <c r="A82" s="14" t="s">
        <v>318</v>
      </c>
      <c r="B82" s="19" t="s">
        <v>15</v>
      </c>
      <c r="C82" s="5" t="s">
        <v>21</v>
      </c>
      <c r="D82" s="5">
        <v>5</v>
      </c>
      <c r="E82" s="4" t="s">
        <v>319</v>
      </c>
      <c r="F82" s="4" t="s">
        <v>47</v>
      </c>
      <c r="G82" s="4" t="s">
        <v>320</v>
      </c>
      <c r="H82" s="4" t="s">
        <v>49</v>
      </c>
      <c r="I82" s="4" t="s">
        <v>321</v>
      </c>
      <c r="J82" s="4" t="s">
        <v>322</v>
      </c>
      <c r="K82" s="5">
        <v>2</v>
      </c>
      <c r="L82" s="5" t="s">
        <v>16</v>
      </c>
      <c r="M82" s="5">
        <v>1</v>
      </c>
      <c r="N82" s="4" t="s">
        <v>323</v>
      </c>
      <c r="O82" s="5" t="s">
        <v>22</v>
      </c>
      <c r="P82" s="5" t="s">
        <v>23</v>
      </c>
      <c r="Q82" s="5" t="s">
        <v>19</v>
      </c>
    </row>
    <row r="83" spans="1:17" ht="195">
      <c r="A83" s="14" t="s">
        <v>324</v>
      </c>
      <c r="B83" s="19" t="s">
        <v>15</v>
      </c>
      <c r="C83" s="5" t="s">
        <v>21</v>
      </c>
      <c r="D83" s="5">
        <v>4</v>
      </c>
      <c r="E83" s="4" t="s">
        <v>325</v>
      </c>
      <c r="F83" s="4" t="s">
        <v>55</v>
      </c>
      <c r="G83" s="4" t="s">
        <v>326</v>
      </c>
      <c r="H83" s="4" t="s">
        <v>49</v>
      </c>
      <c r="I83" s="4" t="s">
        <v>321</v>
      </c>
      <c r="J83" s="4" t="s">
        <v>322</v>
      </c>
      <c r="K83" s="5">
        <v>2</v>
      </c>
      <c r="L83" s="5" t="s">
        <v>16</v>
      </c>
      <c r="M83" s="5">
        <v>1</v>
      </c>
      <c r="N83" s="4" t="s">
        <v>323</v>
      </c>
      <c r="O83" s="5" t="s">
        <v>17</v>
      </c>
      <c r="P83" s="5" t="s">
        <v>23</v>
      </c>
      <c r="Q83" s="5" t="s">
        <v>19</v>
      </c>
    </row>
    <row r="84" spans="1:17" ht="195.5" thickBot="1">
      <c r="A84" s="14" t="s">
        <v>327</v>
      </c>
      <c r="B84" s="19" t="s">
        <v>15</v>
      </c>
      <c r="C84" s="5" t="s">
        <v>21</v>
      </c>
      <c r="D84" s="5">
        <v>4</v>
      </c>
      <c r="E84" s="4" t="s">
        <v>328</v>
      </c>
      <c r="F84" s="4" t="s">
        <v>59</v>
      </c>
      <c r="G84" s="4" t="s">
        <v>329</v>
      </c>
      <c r="H84" s="4" t="s">
        <v>49</v>
      </c>
      <c r="I84" s="4" t="s">
        <v>321</v>
      </c>
      <c r="J84" s="4" t="s">
        <v>322</v>
      </c>
      <c r="K84" s="5">
        <v>2</v>
      </c>
      <c r="L84" s="5" t="s">
        <v>16</v>
      </c>
      <c r="M84" s="5">
        <v>1</v>
      </c>
      <c r="N84" s="4" t="s">
        <v>323</v>
      </c>
      <c r="O84" s="5" t="s">
        <v>17</v>
      </c>
      <c r="P84" s="5" t="s">
        <v>23</v>
      </c>
      <c r="Q84" s="5" t="s">
        <v>19</v>
      </c>
    </row>
    <row r="85" spans="1:17" ht="182">
      <c r="A85" s="12" t="s">
        <v>330</v>
      </c>
      <c r="B85" s="18" t="s">
        <v>15</v>
      </c>
      <c r="C85" s="3" t="s">
        <v>21</v>
      </c>
      <c r="D85" s="3">
        <v>5</v>
      </c>
      <c r="E85" s="2" t="s">
        <v>331</v>
      </c>
      <c r="F85" s="2" t="s">
        <v>63</v>
      </c>
      <c r="G85" s="2" t="s">
        <v>332</v>
      </c>
      <c r="H85" s="2" t="s">
        <v>49</v>
      </c>
      <c r="I85" s="2" t="s">
        <v>321</v>
      </c>
      <c r="J85" s="2" t="s">
        <v>322</v>
      </c>
      <c r="K85" s="3">
        <v>2</v>
      </c>
      <c r="L85" s="3" t="s">
        <v>16</v>
      </c>
      <c r="M85" s="3">
        <v>1</v>
      </c>
      <c r="N85" s="2" t="s">
        <v>323</v>
      </c>
      <c r="O85" s="3" t="s">
        <v>22</v>
      </c>
      <c r="P85" s="3" t="s">
        <v>23</v>
      </c>
      <c r="Q85" s="3" t="s">
        <v>19</v>
      </c>
    </row>
    <row r="86" spans="1:17" ht="195">
      <c r="A86" s="14" t="s">
        <v>333</v>
      </c>
      <c r="B86" s="19" t="s">
        <v>15</v>
      </c>
      <c r="C86" s="5" t="s">
        <v>21</v>
      </c>
      <c r="D86" s="5">
        <v>4</v>
      </c>
      <c r="E86" s="4" t="s">
        <v>334</v>
      </c>
      <c r="F86" s="4" t="s">
        <v>47</v>
      </c>
      <c r="G86" s="4" t="s">
        <v>335</v>
      </c>
      <c r="H86" s="4" t="s">
        <v>49</v>
      </c>
      <c r="I86" s="4" t="s">
        <v>321</v>
      </c>
      <c r="J86" s="4" t="s">
        <v>322</v>
      </c>
      <c r="K86" s="5">
        <v>2</v>
      </c>
      <c r="L86" s="5" t="s">
        <v>16</v>
      </c>
      <c r="M86" s="5">
        <v>1</v>
      </c>
      <c r="N86" s="4" t="s">
        <v>323</v>
      </c>
      <c r="O86" s="5" t="s">
        <v>17</v>
      </c>
      <c r="P86" s="5" t="s">
        <v>23</v>
      </c>
      <c r="Q86" s="5" t="s">
        <v>19</v>
      </c>
    </row>
    <row r="87" spans="1:17" ht="195">
      <c r="A87" s="14" t="s">
        <v>336</v>
      </c>
      <c r="B87" s="19" t="s">
        <v>15</v>
      </c>
      <c r="C87" s="5" t="s">
        <v>21</v>
      </c>
      <c r="D87" s="5">
        <v>4</v>
      </c>
      <c r="E87" s="4" t="s">
        <v>337</v>
      </c>
      <c r="F87" s="4" t="s">
        <v>55</v>
      </c>
      <c r="G87" s="4" t="s">
        <v>338</v>
      </c>
      <c r="H87" s="4" t="s">
        <v>49</v>
      </c>
      <c r="I87" s="4" t="s">
        <v>321</v>
      </c>
      <c r="J87" s="4" t="s">
        <v>322</v>
      </c>
      <c r="K87" s="5">
        <v>2</v>
      </c>
      <c r="L87" s="5" t="s">
        <v>16</v>
      </c>
      <c r="M87" s="5">
        <v>1</v>
      </c>
      <c r="N87" s="4" t="s">
        <v>323</v>
      </c>
      <c r="O87" s="5" t="s">
        <v>17</v>
      </c>
      <c r="P87" s="5" t="s">
        <v>23</v>
      </c>
      <c r="Q87" s="5" t="s">
        <v>19</v>
      </c>
    </row>
    <row r="88" spans="1:17" ht="52">
      <c r="A88" s="14" t="s">
        <v>339</v>
      </c>
      <c r="B88" s="19" t="s">
        <v>15</v>
      </c>
      <c r="C88" s="5" t="s">
        <v>340</v>
      </c>
      <c r="D88" s="5">
        <v>5</v>
      </c>
      <c r="E88" s="4" t="s">
        <v>341</v>
      </c>
      <c r="F88" s="4" t="s">
        <v>70</v>
      </c>
      <c r="G88" s="4" t="s">
        <v>342</v>
      </c>
      <c r="H88" s="4" t="s">
        <v>72</v>
      </c>
      <c r="I88" s="4" t="s">
        <v>321</v>
      </c>
      <c r="J88" s="4" t="s">
        <v>322</v>
      </c>
      <c r="K88" s="5">
        <v>9</v>
      </c>
      <c r="L88" s="5" t="s">
        <v>16</v>
      </c>
      <c r="M88" s="5">
        <v>1</v>
      </c>
      <c r="N88" s="4" t="s">
        <v>323</v>
      </c>
      <c r="O88" s="5" t="s">
        <v>22</v>
      </c>
      <c r="P88" s="5" t="s">
        <v>20</v>
      </c>
      <c r="Q88" s="5" t="s">
        <v>19</v>
      </c>
    </row>
    <row r="89" spans="1:17" ht="52">
      <c r="A89" s="14" t="s">
        <v>343</v>
      </c>
      <c r="B89" s="19" t="s">
        <v>15</v>
      </c>
      <c r="C89" s="5" t="s">
        <v>344</v>
      </c>
      <c r="D89" s="5">
        <v>4</v>
      </c>
      <c r="E89" s="4" t="s">
        <v>345</v>
      </c>
      <c r="F89" s="4" t="s">
        <v>70</v>
      </c>
      <c r="G89" s="4" t="s">
        <v>346</v>
      </c>
      <c r="H89" s="4" t="s">
        <v>72</v>
      </c>
      <c r="I89" s="4" t="s">
        <v>321</v>
      </c>
      <c r="J89" s="4" t="s">
        <v>322</v>
      </c>
      <c r="K89" s="5">
        <v>7</v>
      </c>
      <c r="L89" s="5" t="s">
        <v>16</v>
      </c>
      <c r="M89" s="5">
        <v>1</v>
      </c>
      <c r="N89" s="4" t="s">
        <v>323</v>
      </c>
      <c r="O89" s="5" t="s">
        <v>17</v>
      </c>
      <c r="P89" s="5" t="s">
        <v>20</v>
      </c>
      <c r="Q89" s="5" t="s">
        <v>19</v>
      </c>
    </row>
    <row r="90" spans="1:17" ht="52">
      <c r="A90" s="14" t="s">
        <v>347</v>
      </c>
      <c r="B90" s="19" t="s">
        <v>15</v>
      </c>
      <c r="C90" s="5" t="s">
        <v>348</v>
      </c>
      <c r="D90" s="5">
        <v>4</v>
      </c>
      <c r="E90" s="4" t="s">
        <v>349</v>
      </c>
      <c r="F90" s="4" t="s">
        <v>70</v>
      </c>
      <c r="G90" s="4" t="s">
        <v>350</v>
      </c>
      <c r="H90" s="4" t="s">
        <v>72</v>
      </c>
      <c r="I90" s="4" t="s">
        <v>321</v>
      </c>
      <c r="J90" s="4" t="s">
        <v>322</v>
      </c>
      <c r="K90" s="5">
        <v>7</v>
      </c>
      <c r="L90" s="5" t="s">
        <v>16</v>
      </c>
      <c r="M90" s="5">
        <v>1</v>
      </c>
      <c r="N90" s="4" t="s">
        <v>323</v>
      </c>
      <c r="O90" s="5" t="s">
        <v>17</v>
      </c>
      <c r="P90" s="5" t="s">
        <v>20</v>
      </c>
      <c r="Q90" s="5" t="s">
        <v>19</v>
      </c>
    </row>
    <row r="91" spans="1:17" ht="52.5" thickBot="1">
      <c r="A91" s="14" t="s">
        <v>351</v>
      </c>
      <c r="B91" s="19" t="s">
        <v>15</v>
      </c>
      <c r="C91" s="5" t="s">
        <v>177</v>
      </c>
      <c r="D91" s="5">
        <v>4</v>
      </c>
      <c r="E91" s="4" t="s">
        <v>352</v>
      </c>
      <c r="F91" s="4" t="s">
        <v>70</v>
      </c>
      <c r="G91" s="4" t="s">
        <v>353</v>
      </c>
      <c r="H91" s="4" t="s">
        <v>72</v>
      </c>
      <c r="I91" s="4" t="s">
        <v>321</v>
      </c>
      <c r="J91" s="4" t="s">
        <v>322</v>
      </c>
      <c r="K91" s="5">
        <v>7</v>
      </c>
      <c r="L91" s="5" t="s">
        <v>16</v>
      </c>
      <c r="M91" s="5">
        <v>1</v>
      </c>
      <c r="N91" s="4" t="s">
        <v>323</v>
      </c>
      <c r="O91" s="5" t="s">
        <v>17</v>
      </c>
      <c r="P91" s="5" t="s">
        <v>18</v>
      </c>
      <c r="Q91" s="5" t="s">
        <v>19</v>
      </c>
    </row>
    <row r="92" spans="1:17" ht="195">
      <c r="A92" s="12" t="s">
        <v>354</v>
      </c>
      <c r="B92" s="18" t="s">
        <v>30</v>
      </c>
      <c r="C92" s="3" t="s">
        <v>21</v>
      </c>
      <c r="D92" s="3">
        <v>5</v>
      </c>
      <c r="E92" s="2" t="s">
        <v>355</v>
      </c>
      <c r="F92" s="2" t="s">
        <v>63</v>
      </c>
      <c r="G92" s="2" t="s">
        <v>356</v>
      </c>
      <c r="H92" s="2" t="s">
        <v>49</v>
      </c>
      <c r="I92" s="2" t="s">
        <v>357</v>
      </c>
      <c r="J92" s="2" t="s">
        <v>358</v>
      </c>
      <c r="K92" s="3">
        <v>2</v>
      </c>
      <c r="L92" s="3" t="s">
        <v>16</v>
      </c>
      <c r="M92" s="3">
        <v>1</v>
      </c>
      <c r="N92" s="2" t="s">
        <v>359</v>
      </c>
      <c r="O92" s="3" t="s">
        <v>22</v>
      </c>
      <c r="P92" s="3" t="s">
        <v>23</v>
      </c>
      <c r="Q92" s="3" t="s">
        <v>19</v>
      </c>
    </row>
    <row r="93" spans="1:17" ht="195">
      <c r="A93" s="14" t="s">
        <v>360</v>
      </c>
      <c r="B93" s="19" t="s">
        <v>30</v>
      </c>
      <c r="C93" s="5" t="s">
        <v>21</v>
      </c>
      <c r="D93" s="5">
        <v>4</v>
      </c>
      <c r="E93" s="4" t="s">
        <v>361</v>
      </c>
      <c r="F93" s="4" t="s">
        <v>47</v>
      </c>
      <c r="G93" s="4" t="s">
        <v>362</v>
      </c>
      <c r="H93" s="4" t="s">
        <v>49</v>
      </c>
      <c r="I93" s="4" t="s">
        <v>357</v>
      </c>
      <c r="J93" s="4" t="s">
        <v>358</v>
      </c>
      <c r="K93" s="5">
        <v>2</v>
      </c>
      <c r="L93" s="5" t="s">
        <v>16</v>
      </c>
      <c r="M93" s="5">
        <v>1</v>
      </c>
      <c r="N93" s="4" t="s">
        <v>359</v>
      </c>
      <c r="O93" s="5" t="s">
        <v>17</v>
      </c>
      <c r="P93" s="5" t="s">
        <v>23</v>
      </c>
      <c r="Q93" s="5" t="s">
        <v>19</v>
      </c>
    </row>
    <row r="94" spans="1:17" ht="195">
      <c r="A94" s="14" t="s">
        <v>363</v>
      </c>
      <c r="B94" s="19" t="s">
        <v>30</v>
      </c>
      <c r="C94" s="5" t="s">
        <v>21</v>
      </c>
      <c r="D94" s="5">
        <v>4</v>
      </c>
      <c r="E94" s="4" t="s">
        <v>364</v>
      </c>
      <c r="F94" s="4" t="s">
        <v>55</v>
      </c>
      <c r="G94" s="4" t="s">
        <v>365</v>
      </c>
      <c r="H94" s="4" t="s">
        <v>49</v>
      </c>
      <c r="I94" s="4" t="s">
        <v>357</v>
      </c>
      <c r="J94" s="4" t="s">
        <v>358</v>
      </c>
      <c r="K94" s="5">
        <v>2</v>
      </c>
      <c r="L94" s="5" t="s">
        <v>16</v>
      </c>
      <c r="M94" s="5">
        <v>1</v>
      </c>
      <c r="N94" s="4" t="s">
        <v>359</v>
      </c>
      <c r="O94" s="5" t="s">
        <v>17</v>
      </c>
      <c r="P94" s="5" t="s">
        <v>23</v>
      </c>
      <c r="Q94" s="5" t="s">
        <v>19</v>
      </c>
    </row>
    <row r="95" spans="1:17" ht="182">
      <c r="A95" s="14" t="s">
        <v>366</v>
      </c>
      <c r="B95" s="19" t="s">
        <v>30</v>
      </c>
      <c r="C95" s="5" t="s">
        <v>21</v>
      </c>
      <c r="D95" s="5">
        <v>5</v>
      </c>
      <c r="E95" s="4" t="s">
        <v>367</v>
      </c>
      <c r="F95" s="4" t="s">
        <v>59</v>
      </c>
      <c r="G95" s="4" t="s">
        <v>368</v>
      </c>
      <c r="H95" s="4" t="s">
        <v>49</v>
      </c>
      <c r="I95" s="4" t="s">
        <v>357</v>
      </c>
      <c r="J95" s="4" t="s">
        <v>358</v>
      </c>
      <c r="K95" s="5">
        <v>2</v>
      </c>
      <c r="L95" s="5" t="s">
        <v>16</v>
      </c>
      <c r="M95" s="5">
        <v>1</v>
      </c>
      <c r="N95" s="4" t="s">
        <v>359</v>
      </c>
      <c r="O95" s="5" t="s">
        <v>22</v>
      </c>
      <c r="P95" s="5" t="s">
        <v>23</v>
      </c>
      <c r="Q95" s="5" t="s">
        <v>19</v>
      </c>
    </row>
    <row r="96" spans="1:17" ht="195">
      <c r="A96" s="14" t="s">
        <v>369</v>
      </c>
      <c r="B96" s="19" t="s">
        <v>30</v>
      </c>
      <c r="C96" s="5" t="s">
        <v>21</v>
      </c>
      <c r="D96" s="5">
        <v>4</v>
      </c>
      <c r="E96" s="4" t="s">
        <v>370</v>
      </c>
      <c r="F96" s="4" t="s">
        <v>63</v>
      </c>
      <c r="G96" s="4" t="s">
        <v>371</v>
      </c>
      <c r="H96" s="4" t="s">
        <v>49</v>
      </c>
      <c r="I96" s="4" t="s">
        <v>357</v>
      </c>
      <c r="J96" s="4" t="s">
        <v>358</v>
      </c>
      <c r="K96" s="5">
        <v>2</v>
      </c>
      <c r="L96" s="5" t="s">
        <v>16</v>
      </c>
      <c r="M96" s="5">
        <v>1</v>
      </c>
      <c r="N96" s="4" t="s">
        <v>359</v>
      </c>
      <c r="O96" s="5" t="s">
        <v>17</v>
      </c>
      <c r="P96" s="5" t="s">
        <v>23</v>
      </c>
      <c r="Q96" s="5" t="s">
        <v>19</v>
      </c>
    </row>
    <row r="97" spans="1:17" ht="195">
      <c r="A97" s="14" t="s">
        <v>372</v>
      </c>
      <c r="B97" s="19" t="s">
        <v>30</v>
      </c>
      <c r="C97" s="5" t="s">
        <v>21</v>
      </c>
      <c r="D97" s="5">
        <v>4</v>
      </c>
      <c r="E97" s="4" t="s">
        <v>373</v>
      </c>
      <c r="F97" s="4" t="s">
        <v>47</v>
      </c>
      <c r="G97" s="4" t="s">
        <v>374</v>
      </c>
      <c r="H97" s="4" t="s">
        <v>49</v>
      </c>
      <c r="I97" s="4" t="s">
        <v>357</v>
      </c>
      <c r="J97" s="4" t="s">
        <v>358</v>
      </c>
      <c r="K97" s="5">
        <v>2</v>
      </c>
      <c r="L97" s="5" t="s">
        <v>16</v>
      </c>
      <c r="M97" s="5">
        <v>1</v>
      </c>
      <c r="N97" s="4" t="s">
        <v>359</v>
      </c>
      <c r="O97" s="5" t="s">
        <v>17</v>
      </c>
      <c r="P97" s="5" t="s">
        <v>23</v>
      </c>
      <c r="Q97" s="5" t="s">
        <v>19</v>
      </c>
    </row>
    <row r="98" spans="1:17" ht="52">
      <c r="A98" s="14" t="s">
        <v>375</v>
      </c>
      <c r="B98" s="19" t="s">
        <v>30</v>
      </c>
      <c r="C98" s="5" t="s">
        <v>376</v>
      </c>
      <c r="D98" s="5">
        <v>5</v>
      </c>
      <c r="E98" s="4" t="s">
        <v>377</v>
      </c>
      <c r="F98" s="4" t="s">
        <v>70</v>
      </c>
      <c r="G98" s="4" t="s">
        <v>378</v>
      </c>
      <c r="H98" s="4" t="s">
        <v>72</v>
      </c>
      <c r="I98" s="4" t="s">
        <v>357</v>
      </c>
      <c r="J98" s="4" t="s">
        <v>358</v>
      </c>
      <c r="K98" s="5">
        <v>9</v>
      </c>
      <c r="L98" s="5" t="s">
        <v>16</v>
      </c>
      <c r="M98" s="5">
        <v>1</v>
      </c>
      <c r="N98" s="4" t="s">
        <v>359</v>
      </c>
      <c r="O98" s="5" t="s">
        <v>22</v>
      </c>
      <c r="P98" s="5" t="s">
        <v>18</v>
      </c>
      <c r="Q98" s="5" t="s">
        <v>19</v>
      </c>
    </row>
    <row r="99" spans="1:17" ht="52.5" thickBot="1">
      <c r="A99" s="14" t="s">
        <v>379</v>
      </c>
      <c r="B99" s="19" t="s">
        <v>30</v>
      </c>
      <c r="C99" s="5" t="s">
        <v>380</v>
      </c>
      <c r="D99" s="5">
        <v>4</v>
      </c>
      <c r="E99" s="4" t="s">
        <v>381</v>
      </c>
      <c r="F99" s="4" t="s">
        <v>70</v>
      </c>
      <c r="G99" s="4" t="s">
        <v>382</v>
      </c>
      <c r="H99" s="4" t="s">
        <v>72</v>
      </c>
      <c r="I99" s="4" t="s">
        <v>357</v>
      </c>
      <c r="J99" s="4" t="s">
        <v>358</v>
      </c>
      <c r="K99" s="5">
        <v>7</v>
      </c>
      <c r="L99" s="5" t="s">
        <v>16</v>
      </c>
      <c r="M99" s="5">
        <v>1</v>
      </c>
      <c r="N99" s="4" t="s">
        <v>359</v>
      </c>
      <c r="O99" s="5" t="s">
        <v>17</v>
      </c>
      <c r="P99" s="5" t="s">
        <v>20</v>
      </c>
      <c r="Q99" s="5" t="s">
        <v>19</v>
      </c>
    </row>
    <row r="100" spans="1:17" ht="52">
      <c r="A100" s="12" t="s">
        <v>383</v>
      </c>
      <c r="B100" s="18" t="s">
        <v>30</v>
      </c>
      <c r="C100" s="3" t="s">
        <v>384</v>
      </c>
      <c r="D100" s="3">
        <v>4</v>
      </c>
      <c r="E100" s="2" t="s">
        <v>385</v>
      </c>
      <c r="F100" s="2" t="s">
        <v>70</v>
      </c>
      <c r="G100" s="2" t="s">
        <v>386</v>
      </c>
      <c r="H100" s="2" t="s">
        <v>72</v>
      </c>
      <c r="I100" s="2" t="s">
        <v>357</v>
      </c>
      <c r="J100" s="2" t="s">
        <v>358</v>
      </c>
      <c r="K100" s="3">
        <v>7</v>
      </c>
      <c r="L100" s="3" t="s">
        <v>16</v>
      </c>
      <c r="M100" s="3">
        <v>1</v>
      </c>
      <c r="N100" s="2" t="s">
        <v>359</v>
      </c>
      <c r="O100" s="3" t="s">
        <v>17</v>
      </c>
      <c r="P100" s="3" t="s">
        <v>20</v>
      </c>
      <c r="Q100" s="3" t="s">
        <v>19</v>
      </c>
    </row>
    <row r="101" spans="1:17" ht="52">
      <c r="A101" s="14" t="s">
        <v>387</v>
      </c>
      <c r="B101" s="19" t="s">
        <v>30</v>
      </c>
      <c r="C101" s="5" t="s">
        <v>29</v>
      </c>
      <c r="D101" s="5">
        <v>4</v>
      </c>
      <c r="E101" s="4" t="s">
        <v>388</v>
      </c>
      <c r="F101" s="4" t="s">
        <v>70</v>
      </c>
      <c r="G101" s="4" t="s">
        <v>389</v>
      </c>
      <c r="H101" s="4" t="s">
        <v>72</v>
      </c>
      <c r="I101" s="4" t="s">
        <v>357</v>
      </c>
      <c r="J101" s="4" t="s">
        <v>358</v>
      </c>
      <c r="K101" s="5">
        <v>7</v>
      </c>
      <c r="L101" s="5" t="s">
        <v>16</v>
      </c>
      <c r="M101" s="5">
        <v>1</v>
      </c>
      <c r="N101" s="4" t="s">
        <v>359</v>
      </c>
      <c r="O101" s="5" t="s">
        <v>17</v>
      </c>
      <c r="P101" s="5" t="s">
        <v>18</v>
      </c>
      <c r="Q101" s="5" t="s">
        <v>19</v>
      </c>
    </row>
    <row r="102" spans="1:17">
      <c r="A102" s="14"/>
      <c r="B102" s="19"/>
      <c r="C102" s="5"/>
      <c r="D102" s="5"/>
      <c r="E102" s="4"/>
      <c r="F102" s="4"/>
      <c r="G102" s="4"/>
      <c r="H102" s="4"/>
      <c r="I102" s="4"/>
      <c r="J102" s="4"/>
      <c r="K102" s="5"/>
      <c r="L102" s="5"/>
      <c r="M102" s="5"/>
      <c r="N102" s="4"/>
      <c r="O102" s="5"/>
      <c r="P102" s="5"/>
      <c r="Q102" s="5"/>
    </row>
    <row r="103" spans="1:17">
      <c r="A103" s="14"/>
      <c r="B103" s="19"/>
      <c r="C103" s="5"/>
      <c r="D103" s="5"/>
      <c r="E103" s="4"/>
      <c r="F103" s="4"/>
      <c r="G103" s="4"/>
      <c r="H103" s="4"/>
      <c r="I103" s="4"/>
      <c r="J103" s="4"/>
      <c r="K103" s="5"/>
      <c r="L103" s="5"/>
      <c r="M103" s="5"/>
      <c r="N103" s="4"/>
      <c r="O103" s="5"/>
      <c r="P103" s="5"/>
      <c r="Q103" s="5"/>
    </row>
    <row r="104" spans="1:17">
      <c r="A104" s="14"/>
      <c r="B104" s="19"/>
      <c r="C104" s="5"/>
      <c r="D104" s="5"/>
      <c r="E104" s="4"/>
      <c r="F104" s="4"/>
      <c r="G104" s="4"/>
      <c r="H104" s="4"/>
      <c r="I104" s="4"/>
      <c r="J104" s="4"/>
      <c r="K104" s="5"/>
      <c r="L104" s="5"/>
      <c r="M104" s="5"/>
      <c r="N104" s="4"/>
      <c r="O104" s="5"/>
      <c r="P104" s="5"/>
      <c r="Q104" s="5"/>
    </row>
    <row r="105" spans="1:17">
      <c r="A105" s="14"/>
      <c r="B105" s="19"/>
      <c r="C105" s="5"/>
      <c r="D105" s="5"/>
      <c r="E105" s="4"/>
      <c r="F105" s="4"/>
      <c r="G105" s="4"/>
      <c r="H105" s="4"/>
      <c r="I105" s="4"/>
      <c r="J105" s="4"/>
      <c r="K105" s="5"/>
      <c r="L105" s="5"/>
      <c r="M105" s="5"/>
      <c r="N105" s="4"/>
      <c r="O105" s="5"/>
      <c r="P105" s="5"/>
      <c r="Q105" s="5"/>
    </row>
    <row r="106" spans="1:17">
      <c r="A106" s="14"/>
      <c r="B106" s="19"/>
      <c r="C106" s="5"/>
      <c r="D106" s="5"/>
      <c r="E106" s="4"/>
      <c r="F106" s="4"/>
      <c r="G106" s="4"/>
      <c r="H106" s="4"/>
      <c r="I106" s="4"/>
      <c r="J106" s="4"/>
      <c r="K106" s="5"/>
      <c r="L106" s="5"/>
      <c r="M106" s="5"/>
      <c r="N106" s="4"/>
      <c r="O106" s="5"/>
      <c r="P106" s="5"/>
      <c r="Q106" s="5"/>
    </row>
    <row r="107" spans="1:17">
      <c r="A107" s="14"/>
      <c r="B107" s="19"/>
      <c r="C107" s="5"/>
      <c r="D107" s="5"/>
      <c r="E107" s="4"/>
      <c r="F107" s="4"/>
      <c r="G107" s="4"/>
      <c r="H107" s="4"/>
      <c r="I107" s="4"/>
      <c r="J107" s="4"/>
      <c r="K107" s="5"/>
      <c r="L107" s="5"/>
      <c r="M107" s="5"/>
      <c r="N107" s="4"/>
      <c r="O107" s="5"/>
      <c r="P107" s="5"/>
      <c r="Q107" s="5"/>
    </row>
    <row r="108" spans="1:17">
      <c r="A108" s="14"/>
      <c r="B108" s="19"/>
      <c r="C108" s="5"/>
      <c r="D108" s="5"/>
      <c r="E108" s="4"/>
      <c r="F108" s="4"/>
      <c r="G108" s="4"/>
      <c r="H108" s="4"/>
      <c r="I108" s="4"/>
      <c r="J108" s="4"/>
      <c r="K108" s="5"/>
      <c r="L108" s="5"/>
      <c r="M108" s="5"/>
      <c r="N108" s="4"/>
      <c r="O108" s="5"/>
      <c r="P108" s="5"/>
      <c r="Q108" s="5"/>
    </row>
    <row r="109" spans="1:17">
      <c r="A109" s="14"/>
      <c r="B109" s="19"/>
      <c r="C109" s="5"/>
      <c r="D109" s="5"/>
      <c r="E109" s="4"/>
      <c r="F109" s="4"/>
      <c r="G109" s="4"/>
      <c r="H109" s="4"/>
      <c r="I109" s="4"/>
      <c r="J109" s="4"/>
      <c r="K109" s="5"/>
      <c r="L109" s="5"/>
      <c r="M109" s="5"/>
      <c r="N109" s="4"/>
      <c r="O109" s="5"/>
      <c r="P109" s="5"/>
      <c r="Q109" s="5"/>
    </row>
    <row r="110" spans="1:17">
      <c r="A110" s="14"/>
      <c r="B110" s="19"/>
      <c r="C110" s="5"/>
      <c r="D110" s="5"/>
      <c r="E110" s="4"/>
      <c r="F110" s="4"/>
      <c r="G110" s="4"/>
      <c r="H110" s="4"/>
      <c r="I110" s="4"/>
      <c r="J110" s="4"/>
      <c r="K110" s="5"/>
      <c r="L110" s="5"/>
      <c r="M110" s="5"/>
      <c r="N110" s="4"/>
      <c r="O110" s="5"/>
      <c r="P110" s="5"/>
      <c r="Q110" s="5"/>
    </row>
    <row r="111" spans="1:17">
      <c r="A111" s="14"/>
      <c r="B111" s="19"/>
      <c r="C111" s="5"/>
      <c r="D111" s="5"/>
      <c r="E111" s="4"/>
      <c r="F111" s="4"/>
      <c r="G111" s="4"/>
      <c r="H111" s="4"/>
      <c r="I111" s="4"/>
      <c r="J111" s="4"/>
      <c r="K111" s="5"/>
      <c r="L111" s="5"/>
      <c r="M111" s="5"/>
      <c r="N111" s="4"/>
      <c r="O111" s="5"/>
      <c r="P111" s="5"/>
      <c r="Q111" s="5"/>
    </row>
    <row r="112" spans="1:17">
      <c r="A112" s="14"/>
      <c r="B112" s="19"/>
      <c r="C112" s="5"/>
      <c r="D112" s="5"/>
      <c r="E112" s="4"/>
      <c r="F112" s="4"/>
      <c r="G112" s="4"/>
      <c r="H112" s="4"/>
      <c r="I112" s="4"/>
      <c r="J112" s="4"/>
      <c r="K112" s="5"/>
      <c r="L112" s="5"/>
      <c r="M112" s="5"/>
      <c r="N112" s="4"/>
      <c r="O112" s="5"/>
      <c r="P112" s="5"/>
      <c r="Q112" s="5"/>
    </row>
    <row r="113" spans="1:17" ht="14.5" thickBot="1">
      <c r="A113" s="14"/>
      <c r="B113" s="19"/>
      <c r="C113" s="5"/>
      <c r="D113" s="5"/>
      <c r="E113" s="4"/>
      <c r="F113" s="4"/>
      <c r="G113" s="4"/>
      <c r="H113" s="4"/>
      <c r="I113" s="4"/>
      <c r="J113" s="4"/>
      <c r="K113" s="5"/>
      <c r="L113" s="5"/>
      <c r="M113" s="5"/>
      <c r="N113" s="4"/>
      <c r="O113" s="5"/>
      <c r="P113" s="5"/>
      <c r="Q113" s="5"/>
    </row>
    <row r="114" spans="1:17">
      <c r="A114" s="12"/>
      <c r="B114" s="18"/>
      <c r="C114" s="3"/>
      <c r="D114" s="3"/>
      <c r="E114" s="2"/>
      <c r="F114" s="2"/>
      <c r="G114" s="2"/>
      <c r="H114" s="2"/>
      <c r="I114" s="2"/>
      <c r="J114" s="2"/>
      <c r="K114" s="3"/>
      <c r="L114" s="3"/>
      <c r="M114" s="3"/>
      <c r="N114" s="2"/>
      <c r="O114" s="3"/>
      <c r="P114" s="3"/>
      <c r="Q114" s="3"/>
    </row>
    <row r="115" spans="1:17">
      <c r="A115" s="14"/>
      <c r="B115" s="19"/>
      <c r="C115" s="5"/>
      <c r="D115" s="5"/>
      <c r="E115" s="4"/>
      <c r="F115" s="4"/>
      <c r="G115" s="4"/>
      <c r="H115" s="4"/>
      <c r="I115" s="4"/>
      <c r="J115" s="4"/>
      <c r="K115" s="5"/>
      <c r="L115" s="5"/>
      <c r="M115" s="5"/>
      <c r="N115" s="4"/>
      <c r="O115" s="5"/>
      <c r="P115" s="5"/>
      <c r="Q115" s="5"/>
    </row>
    <row r="116" spans="1:17">
      <c r="A116" s="14"/>
      <c r="B116" s="19"/>
      <c r="C116" s="5"/>
      <c r="D116" s="5"/>
      <c r="E116" s="4"/>
      <c r="F116" s="4"/>
      <c r="G116" s="4"/>
      <c r="H116" s="4"/>
      <c r="I116" s="4"/>
      <c r="J116" s="4"/>
      <c r="K116" s="5"/>
      <c r="L116" s="5"/>
      <c r="M116" s="5"/>
      <c r="N116" s="4"/>
      <c r="O116" s="5"/>
      <c r="P116" s="5"/>
      <c r="Q116" s="5"/>
    </row>
    <row r="117" spans="1:17">
      <c r="A117" s="14"/>
      <c r="B117" s="19"/>
      <c r="C117" s="5"/>
      <c r="D117" s="5"/>
      <c r="E117" s="4"/>
      <c r="F117" s="4"/>
      <c r="G117" s="4"/>
      <c r="H117" s="4"/>
      <c r="I117" s="4"/>
      <c r="J117" s="4"/>
      <c r="K117" s="5"/>
      <c r="L117" s="5"/>
      <c r="M117" s="5"/>
      <c r="N117" s="4"/>
      <c r="O117" s="5"/>
      <c r="P117" s="5"/>
      <c r="Q117" s="5"/>
    </row>
    <row r="118" spans="1:17">
      <c r="A118" s="14"/>
      <c r="B118" s="19"/>
      <c r="C118" s="5"/>
      <c r="D118" s="5"/>
      <c r="E118" s="4"/>
      <c r="F118" s="4"/>
      <c r="G118" s="4"/>
      <c r="H118" s="4"/>
      <c r="I118" s="4"/>
      <c r="J118" s="4"/>
      <c r="K118" s="5"/>
      <c r="L118" s="5"/>
      <c r="M118" s="5"/>
      <c r="N118" s="4"/>
      <c r="O118" s="5"/>
      <c r="P118" s="5"/>
      <c r="Q118" s="5"/>
    </row>
    <row r="119" spans="1:17">
      <c r="A119" s="14"/>
      <c r="B119" s="19"/>
      <c r="C119" s="5"/>
      <c r="D119" s="5"/>
      <c r="E119" s="4"/>
      <c r="F119" s="4"/>
      <c r="G119" s="4"/>
      <c r="H119" s="4"/>
      <c r="I119" s="4"/>
      <c r="J119" s="4"/>
      <c r="K119" s="5"/>
      <c r="L119" s="5"/>
      <c r="M119" s="5"/>
      <c r="N119" s="4"/>
      <c r="O119" s="5"/>
      <c r="P119" s="5"/>
      <c r="Q119" s="5"/>
    </row>
    <row r="120" spans="1:17">
      <c r="A120" s="14"/>
      <c r="B120" s="19"/>
      <c r="C120" s="5"/>
      <c r="D120" s="5"/>
      <c r="E120" s="4"/>
      <c r="F120" s="4"/>
      <c r="G120" s="4"/>
      <c r="H120" s="4"/>
      <c r="I120" s="4"/>
      <c r="J120" s="4"/>
      <c r="K120" s="5"/>
      <c r="L120" s="5"/>
      <c r="M120" s="5"/>
      <c r="N120" s="4"/>
      <c r="O120" s="5"/>
      <c r="P120" s="5"/>
      <c r="Q120" s="5"/>
    </row>
    <row r="121" spans="1:17">
      <c r="A121" s="14"/>
      <c r="B121" s="19"/>
      <c r="C121" s="5"/>
      <c r="D121" s="5"/>
      <c r="E121" s="4"/>
      <c r="F121" s="4"/>
      <c r="G121" s="4"/>
      <c r="H121" s="4"/>
      <c r="I121" s="4"/>
      <c r="J121" s="4"/>
      <c r="K121" s="5"/>
      <c r="L121" s="5"/>
      <c r="M121" s="5"/>
      <c r="N121" s="4"/>
      <c r="O121" s="5"/>
      <c r="P121" s="5"/>
      <c r="Q121" s="5"/>
    </row>
    <row r="122" spans="1:17">
      <c r="A122" s="14"/>
      <c r="B122" s="19"/>
      <c r="C122" s="5"/>
      <c r="D122" s="5"/>
      <c r="E122" s="4"/>
      <c r="F122" s="4"/>
      <c r="G122" s="4"/>
      <c r="H122" s="4"/>
      <c r="I122" s="4"/>
      <c r="J122" s="4"/>
      <c r="K122" s="5"/>
      <c r="L122" s="5"/>
      <c r="M122" s="5"/>
      <c r="N122" s="4"/>
      <c r="O122" s="5"/>
      <c r="P122" s="5"/>
      <c r="Q122" s="5"/>
    </row>
    <row r="123" spans="1:17" ht="14.5" thickBot="1">
      <c r="A123" s="14"/>
      <c r="B123" s="19"/>
      <c r="C123" s="5"/>
      <c r="D123" s="5"/>
      <c r="E123" s="4"/>
      <c r="F123" s="4"/>
      <c r="G123" s="4"/>
      <c r="H123" s="4"/>
      <c r="I123" s="4"/>
      <c r="J123" s="4"/>
      <c r="K123" s="5"/>
      <c r="L123" s="5"/>
      <c r="M123" s="5"/>
      <c r="N123" s="4"/>
      <c r="O123" s="5"/>
      <c r="P123" s="5"/>
      <c r="Q123" s="5"/>
    </row>
    <row r="124" spans="1:17">
      <c r="A124" s="12"/>
      <c r="B124" s="18"/>
      <c r="C124" s="3"/>
      <c r="D124" s="3"/>
      <c r="E124" s="2"/>
      <c r="F124" s="2"/>
      <c r="G124" s="2"/>
      <c r="H124" s="2"/>
      <c r="I124" s="2"/>
      <c r="J124" s="2"/>
      <c r="K124" s="3"/>
      <c r="L124" s="3"/>
      <c r="M124" s="3"/>
      <c r="N124" s="2"/>
      <c r="O124" s="3"/>
      <c r="P124" s="3"/>
      <c r="Q124" s="3"/>
    </row>
    <row r="125" spans="1:17">
      <c r="A125" s="14"/>
      <c r="B125" s="19"/>
      <c r="C125" s="5"/>
      <c r="D125" s="5"/>
      <c r="E125" s="4"/>
      <c r="F125" s="4"/>
      <c r="G125" s="4"/>
      <c r="H125" s="4"/>
      <c r="I125" s="4"/>
      <c r="J125" s="4"/>
      <c r="K125" s="5"/>
      <c r="L125" s="5"/>
      <c r="M125" s="5"/>
      <c r="N125" s="4"/>
      <c r="O125" s="5"/>
      <c r="P125" s="5"/>
      <c r="Q125" s="5"/>
    </row>
    <row r="126" spans="1:17">
      <c r="A126" s="14"/>
      <c r="B126" s="19"/>
      <c r="C126" s="5"/>
      <c r="D126" s="5"/>
      <c r="E126" s="4"/>
      <c r="F126" s="4"/>
      <c r="G126" s="4"/>
      <c r="H126" s="4"/>
      <c r="I126" s="4"/>
      <c r="J126" s="4"/>
      <c r="K126" s="5"/>
      <c r="L126" s="5"/>
      <c r="M126" s="5"/>
      <c r="N126" s="4"/>
      <c r="O126" s="5"/>
      <c r="P126" s="5"/>
      <c r="Q126" s="5"/>
    </row>
    <row r="127" spans="1:17">
      <c r="A127" s="14"/>
      <c r="B127" s="19"/>
      <c r="C127" s="5"/>
      <c r="D127" s="5"/>
      <c r="E127" s="4"/>
      <c r="F127" s="4"/>
      <c r="G127" s="4"/>
      <c r="H127" s="4"/>
      <c r="I127" s="4"/>
      <c r="J127" s="4"/>
      <c r="K127" s="5"/>
      <c r="L127" s="5"/>
      <c r="M127" s="5"/>
      <c r="N127" s="4"/>
      <c r="O127" s="5"/>
      <c r="P127" s="5"/>
      <c r="Q127" s="5"/>
    </row>
    <row r="128" spans="1:17">
      <c r="A128" s="14"/>
      <c r="B128" s="19"/>
      <c r="C128" s="5"/>
      <c r="D128" s="5"/>
      <c r="E128" s="4"/>
      <c r="F128" s="4"/>
      <c r="G128" s="4"/>
      <c r="H128" s="4"/>
      <c r="I128" s="4"/>
      <c r="J128" s="4"/>
      <c r="K128" s="5"/>
      <c r="L128" s="5"/>
      <c r="M128" s="5"/>
      <c r="N128" s="4"/>
      <c r="O128" s="5"/>
      <c r="P128" s="5"/>
      <c r="Q128" s="5"/>
    </row>
    <row r="129" spans="1:17">
      <c r="A129" s="14"/>
      <c r="B129" s="19"/>
      <c r="C129" s="5"/>
      <c r="D129" s="5"/>
      <c r="E129" s="4"/>
      <c r="F129" s="4"/>
      <c r="G129" s="4"/>
      <c r="H129" s="4"/>
      <c r="I129" s="4"/>
      <c r="J129" s="4"/>
      <c r="K129" s="5"/>
      <c r="L129" s="5"/>
      <c r="M129" s="5"/>
      <c r="N129" s="4"/>
      <c r="O129" s="5"/>
      <c r="P129" s="5"/>
      <c r="Q129" s="5"/>
    </row>
    <row r="130" spans="1:17" ht="14.5" thickBot="1">
      <c r="A130" s="14"/>
      <c r="B130" s="19"/>
      <c r="C130" s="5"/>
      <c r="D130" s="5"/>
      <c r="E130" s="4"/>
      <c r="F130" s="4"/>
      <c r="G130" s="4"/>
      <c r="H130" s="4"/>
      <c r="I130" s="4"/>
      <c r="J130" s="4"/>
      <c r="K130" s="5"/>
      <c r="L130" s="5"/>
      <c r="M130" s="5"/>
      <c r="N130" s="4"/>
      <c r="O130" s="5"/>
      <c r="P130" s="5"/>
      <c r="Q130" s="5"/>
    </row>
    <row r="131" spans="1:17">
      <c r="A131" s="12"/>
      <c r="B131" s="18"/>
      <c r="C131" s="3"/>
      <c r="D131" s="3"/>
      <c r="E131" s="2"/>
      <c r="F131" s="2"/>
      <c r="G131" s="2"/>
      <c r="H131" s="2"/>
      <c r="I131" s="2"/>
      <c r="J131" s="2"/>
      <c r="K131" s="3"/>
      <c r="L131" s="3"/>
      <c r="M131" s="3"/>
      <c r="N131" s="2"/>
      <c r="O131" s="3"/>
      <c r="P131" s="3"/>
      <c r="Q131" s="3"/>
    </row>
    <row r="132" spans="1:17">
      <c r="A132" s="14"/>
      <c r="B132" s="19"/>
      <c r="C132" s="5"/>
      <c r="D132" s="5"/>
      <c r="E132" s="4"/>
      <c r="F132" s="4"/>
      <c r="G132" s="4"/>
      <c r="H132" s="4"/>
      <c r="I132" s="4"/>
      <c r="J132" s="4"/>
      <c r="K132" s="5"/>
      <c r="L132" s="5"/>
      <c r="M132" s="5"/>
      <c r="N132" s="4"/>
      <c r="O132" s="5"/>
      <c r="P132" s="5"/>
      <c r="Q132" s="5"/>
    </row>
    <row r="133" spans="1:17" ht="14.5" thickBot="1">
      <c r="A133" s="14"/>
      <c r="B133" s="19"/>
      <c r="C133" s="5"/>
      <c r="D133" s="5"/>
      <c r="E133" s="4"/>
      <c r="F133" s="4"/>
      <c r="G133" s="4"/>
      <c r="H133" s="4"/>
      <c r="I133" s="4"/>
      <c r="J133" s="4"/>
      <c r="K133" s="5"/>
      <c r="L133" s="5"/>
      <c r="M133" s="5"/>
      <c r="N133" s="4"/>
      <c r="O133" s="5"/>
      <c r="P133" s="5"/>
      <c r="Q133" s="5"/>
    </row>
    <row r="134" spans="1:17">
      <c r="A134" s="12"/>
      <c r="B134" s="20"/>
      <c r="C134" s="3"/>
      <c r="D134" s="3"/>
      <c r="E134" s="2"/>
      <c r="F134" s="2"/>
      <c r="G134" s="2"/>
      <c r="H134" s="2"/>
      <c r="I134" s="2"/>
      <c r="J134" s="2"/>
      <c r="K134" s="3"/>
      <c r="L134" s="3"/>
      <c r="M134" s="3"/>
      <c r="N134" s="2"/>
      <c r="O134" s="3"/>
      <c r="P134" s="3"/>
      <c r="Q134" s="3"/>
    </row>
    <row r="135" spans="1:17">
      <c r="A135" s="14"/>
      <c r="B135" s="21"/>
      <c r="C135" s="5"/>
      <c r="D135" s="5"/>
      <c r="E135" s="4"/>
      <c r="F135" s="4"/>
      <c r="G135" s="4"/>
      <c r="H135" s="4"/>
      <c r="I135" s="4"/>
      <c r="J135" s="4"/>
      <c r="K135" s="5"/>
      <c r="L135" s="5"/>
      <c r="M135" s="5"/>
      <c r="N135" s="4"/>
      <c r="O135" s="5"/>
      <c r="P135" s="5"/>
      <c r="Q135" s="5"/>
    </row>
    <row r="136" spans="1:17">
      <c r="A136" s="14"/>
      <c r="B136" s="21"/>
      <c r="C136" s="5"/>
      <c r="D136" s="5"/>
      <c r="E136" s="4"/>
      <c r="F136" s="4"/>
      <c r="G136" s="4"/>
      <c r="H136" s="4"/>
      <c r="I136" s="4"/>
      <c r="J136" s="4"/>
      <c r="K136" s="5"/>
      <c r="L136" s="5"/>
      <c r="M136" s="5"/>
      <c r="N136" s="4"/>
      <c r="O136" s="5"/>
      <c r="P136" s="5"/>
      <c r="Q136" s="5"/>
    </row>
    <row r="137" spans="1:17" ht="14.5" thickBot="1">
      <c r="A137" s="14"/>
      <c r="B137" s="21"/>
      <c r="C137" s="5"/>
      <c r="D137" s="5"/>
      <c r="E137" s="4"/>
      <c r="F137" s="4"/>
      <c r="G137" s="4"/>
      <c r="H137" s="4"/>
      <c r="I137" s="4"/>
      <c r="J137" s="4"/>
      <c r="K137" s="5"/>
      <c r="L137" s="5"/>
      <c r="M137" s="5"/>
      <c r="N137" s="4"/>
      <c r="O137" s="5"/>
      <c r="P137" s="5"/>
      <c r="Q137" s="5"/>
    </row>
    <row r="138" spans="1:17">
      <c r="A138" s="12"/>
      <c r="B138" s="20"/>
      <c r="C138" s="3"/>
      <c r="D138" s="3"/>
      <c r="E138" s="2"/>
      <c r="F138" s="2"/>
      <c r="G138" s="2"/>
      <c r="H138" s="2"/>
      <c r="I138" s="2"/>
      <c r="J138" s="2"/>
      <c r="K138" s="3"/>
      <c r="L138" s="3"/>
      <c r="M138" s="3"/>
      <c r="N138" s="2"/>
      <c r="O138" s="3"/>
      <c r="P138" s="3"/>
      <c r="Q138" s="3"/>
    </row>
    <row r="139" spans="1:17">
      <c r="A139" s="14"/>
      <c r="B139" s="21"/>
      <c r="C139" s="5"/>
      <c r="D139" s="5"/>
      <c r="E139" s="4"/>
      <c r="F139" s="4"/>
      <c r="G139" s="4"/>
      <c r="H139" s="4"/>
      <c r="I139" s="4"/>
      <c r="J139" s="4"/>
      <c r="K139" s="5"/>
      <c r="L139" s="5"/>
      <c r="M139" s="5"/>
      <c r="N139" s="4"/>
      <c r="O139" s="5"/>
      <c r="P139" s="5"/>
      <c r="Q139" s="5"/>
    </row>
    <row r="140" spans="1:17" ht="14.5" thickBot="1">
      <c r="A140" s="14"/>
      <c r="B140" s="21"/>
      <c r="C140" s="5"/>
      <c r="D140" s="5"/>
      <c r="E140" s="4"/>
      <c r="F140" s="4"/>
      <c r="G140" s="4"/>
      <c r="H140" s="4"/>
      <c r="I140" s="4"/>
      <c r="J140" s="4"/>
      <c r="K140" s="5"/>
      <c r="L140" s="5"/>
      <c r="M140" s="5"/>
      <c r="N140" s="4"/>
      <c r="O140" s="5"/>
      <c r="P140" s="5"/>
      <c r="Q140" s="5"/>
    </row>
    <row r="141" spans="1:17">
      <c r="A141" s="12"/>
      <c r="B141" s="20"/>
      <c r="C141" s="3"/>
      <c r="D141" s="3"/>
      <c r="E141" s="2"/>
      <c r="F141" s="2"/>
      <c r="G141" s="2"/>
      <c r="H141" s="2"/>
      <c r="I141" s="2"/>
      <c r="J141" s="2"/>
      <c r="K141" s="3"/>
      <c r="L141" s="3"/>
      <c r="M141" s="3"/>
      <c r="N141" s="2"/>
      <c r="O141" s="3"/>
      <c r="P141" s="3"/>
      <c r="Q141" s="3"/>
    </row>
    <row r="142" spans="1:17" ht="14.5" thickBot="1">
      <c r="A142" s="14"/>
      <c r="B142" s="21"/>
      <c r="C142" s="5"/>
      <c r="D142" s="5"/>
      <c r="E142" s="4"/>
      <c r="F142" s="4"/>
      <c r="G142" s="4"/>
      <c r="H142" s="4"/>
      <c r="I142" s="4"/>
      <c r="J142" s="4"/>
      <c r="K142" s="5"/>
      <c r="L142" s="5"/>
      <c r="M142" s="5"/>
      <c r="N142" s="4"/>
      <c r="O142" s="5"/>
      <c r="P142" s="5"/>
      <c r="Q142" s="5"/>
    </row>
    <row r="143" spans="1:17" ht="14.5" thickBot="1">
      <c r="A143" s="12"/>
      <c r="B143" s="20"/>
      <c r="C143" s="3"/>
      <c r="D143" s="3"/>
      <c r="E143" s="2"/>
      <c r="F143" s="2"/>
      <c r="G143" s="2"/>
      <c r="H143" s="2"/>
      <c r="I143" s="2"/>
      <c r="J143" s="2"/>
      <c r="K143" s="3"/>
      <c r="L143" s="3"/>
      <c r="M143" s="3"/>
      <c r="N143" s="2"/>
      <c r="O143" s="3"/>
      <c r="P143" s="3"/>
      <c r="Q143" s="3"/>
    </row>
    <row r="144" spans="1:17" ht="14.5" thickBot="1">
      <c r="A144" s="12"/>
      <c r="B144" s="22"/>
      <c r="C144" s="3"/>
      <c r="D144" s="3"/>
      <c r="E144" s="2"/>
      <c r="F144" s="2"/>
      <c r="G144" s="2"/>
      <c r="H144" s="2"/>
      <c r="I144" s="2"/>
      <c r="J144" s="2"/>
      <c r="K144" s="3"/>
      <c r="L144" s="3"/>
      <c r="M144" s="3"/>
      <c r="N144" s="2"/>
      <c r="O144" s="3"/>
      <c r="P144" s="3"/>
      <c r="Q144" s="3"/>
    </row>
    <row r="145" spans="1:17">
      <c r="A145" s="12"/>
      <c r="B145" s="22"/>
      <c r="C145" s="3"/>
      <c r="D145" s="3"/>
      <c r="E145" s="2"/>
      <c r="F145" s="2"/>
      <c r="G145" s="2"/>
      <c r="H145" s="2"/>
      <c r="I145" s="2"/>
      <c r="J145" s="2"/>
      <c r="K145" s="3"/>
      <c r="L145" s="3"/>
      <c r="M145" s="3"/>
      <c r="N145" s="2"/>
      <c r="O145" s="3"/>
      <c r="P145" s="3"/>
      <c r="Q145" s="3"/>
    </row>
    <row r="146" spans="1:17" ht="14.5" thickBot="1">
      <c r="A146" s="14"/>
      <c r="B146" s="23"/>
      <c r="C146" s="5"/>
      <c r="D146" s="5"/>
      <c r="E146" s="4"/>
      <c r="F146" s="4"/>
      <c r="G146" s="4"/>
      <c r="H146" s="4"/>
      <c r="I146" s="4"/>
      <c r="J146" s="4"/>
      <c r="K146" s="5"/>
      <c r="L146" s="5"/>
      <c r="M146" s="5"/>
      <c r="N146" s="4"/>
      <c r="O146" s="5"/>
      <c r="P146" s="5"/>
      <c r="Q146" s="5"/>
    </row>
    <row r="147" spans="1:17" ht="14.5" thickBot="1">
      <c r="A147" s="12"/>
      <c r="B147" s="22"/>
      <c r="C147" s="3"/>
      <c r="D147" s="3"/>
      <c r="E147" s="2"/>
      <c r="F147" s="2"/>
      <c r="G147" s="2"/>
      <c r="H147" s="2"/>
      <c r="I147" s="2"/>
      <c r="J147" s="2"/>
      <c r="K147" s="3"/>
      <c r="L147" s="3"/>
      <c r="M147" s="3"/>
      <c r="N147" s="2"/>
      <c r="O147" s="3"/>
      <c r="P147" s="3"/>
      <c r="Q147" s="3"/>
    </row>
    <row r="148" spans="1:17" ht="14.5" thickBot="1">
      <c r="A148" s="12"/>
      <c r="B148" s="22"/>
      <c r="C148" s="3"/>
      <c r="D148" s="3"/>
      <c r="E148" s="2"/>
      <c r="F148" s="2"/>
      <c r="G148" s="2"/>
      <c r="H148" s="2"/>
      <c r="I148" s="2"/>
      <c r="J148" s="2"/>
      <c r="K148" s="3"/>
      <c r="L148" s="3"/>
      <c r="M148" s="3"/>
      <c r="N148" s="2"/>
      <c r="O148" s="3"/>
      <c r="P148" s="3"/>
      <c r="Q148" s="3"/>
    </row>
    <row r="149" spans="1:17" ht="14.5" thickBot="1">
      <c r="A149" s="12"/>
      <c r="B149" s="24"/>
      <c r="C149" s="3"/>
      <c r="D149" s="3"/>
      <c r="E149" s="2"/>
      <c r="F149" s="2"/>
      <c r="G149" s="2"/>
      <c r="H149" s="2"/>
      <c r="I149" s="2"/>
      <c r="J149" s="2"/>
      <c r="K149" s="3"/>
      <c r="L149" s="3"/>
      <c r="M149" s="3"/>
      <c r="N149" s="2"/>
      <c r="O149" s="3"/>
      <c r="P149" s="3"/>
      <c r="Q149" s="3"/>
    </row>
    <row r="150" spans="1:17">
      <c r="A150" s="12"/>
      <c r="B150" s="25"/>
      <c r="C150" s="3"/>
      <c r="D150" s="3"/>
      <c r="E150" s="2"/>
      <c r="F150" s="2"/>
      <c r="G150" s="2"/>
      <c r="H150" s="2"/>
      <c r="I150" s="2"/>
      <c r="J150" s="2"/>
      <c r="K150" s="3"/>
      <c r="L150" s="3"/>
      <c r="M150" s="3"/>
      <c r="N150" s="2"/>
      <c r="O150" s="3"/>
      <c r="P150" s="3"/>
      <c r="Q150" s="3"/>
    </row>
    <row r="151" spans="1:17">
      <c r="A151" s="14"/>
      <c r="B151" s="26"/>
      <c r="C151" s="5"/>
      <c r="D151" s="5"/>
      <c r="E151" s="4"/>
      <c r="F151" s="4"/>
      <c r="G151" s="4"/>
      <c r="H151" s="4"/>
      <c r="I151" s="4"/>
      <c r="J151" s="4"/>
      <c r="K151" s="5"/>
      <c r="L151" s="5"/>
      <c r="M151" s="5"/>
      <c r="N151" s="4"/>
      <c r="O151" s="5"/>
      <c r="P151" s="5"/>
      <c r="Q151" s="5"/>
    </row>
    <row r="152" spans="1:17">
      <c r="A152" s="14"/>
      <c r="B152" s="26"/>
      <c r="C152" s="5"/>
      <c r="D152" s="5"/>
      <c r="E152" s="4"/>
      <c r="F152" s="4"/>
      <c r="G152" s="4"/>
      <c r="H152" s="4"/>
      <c r="I152" s="4"/>
      <c r="J152" s="4"/>
      <c r="K152" s="5"/>
      <c r="L152" s="5"/>
      <c r="M152" s="5"/>
      <c r="N152" s="4"/>
      <c r="O152" s="5"/>
      <c r="P152" s="5"/>
      <c r="Q152" s="5"/>
    </row>
    <row r="153" spans="1:17">
      <c r="A153" s="14"/>
      <c r="B153" s="26"/>
      <c r="C153" s="5"/>
      <c r="D153" s="5"/>
      <c r="E153" s="4"/>
      <c r="F153" s="4"/>
      <c r="G153" s="4"/>
      <c r="H153" s="4"/>
      <c r="I153" s="4"/>
      <c r="J153" s="4"/>
      <c r="K153" s="5"/>
      <c r="L153" s="5"/>
      <c r="M153" s="5"/>
      <c r="N153" s="4"/>
      <c r="O153" s="5"/>
      <c r="P153" s="5"/>
      <c r="Q153" s="5"/>
    </row>
    <row r="154" spans="1:17">
      <c r="A154" s="14"/>
      <c r="B154" s="26"/>
      <c r="C154" s="5"/>
      <c r="D154" s="5"/>
      <c r="E154" s="4"/>
      <c r="F154" s="4"/>
      <c r="G154" s="4"/>
      <c r="H154" s="4"/>
      <c r="I154" s="4"/>
      <c r="J154" s="4"/>
      <c r="K154" s="5"/>
      <c r="L154" s="5"/>
      <c r="M154" s="5"/>
      <c r="N154" s="4"/>
      <c r="O154" s="5"/>
      <c r="P154" s="5"/>
      <c r="Q154" s="5"/>
    </row>
    <row r="155" spans="1:17">
      <c r="A155" s="14"/>
      <c r="B155" s="26"/>
      <c r="C155" s="5"/>
      <c r="D155" s="5"/>
      <c r="E155" s="4"/>
      <c r="F155" s="4"/>
      <c r="G155" s="4"/>
      <c r="H155" s="4"/>
      <c r="I155" s="4"/>
      <c r="J155" s="4"/>
      <c r="K155" s="5"/>
      <c r="L155" s="5"/>
      <c r="M155" s="5"/>
      <c r="N155" s="4"/>
      <c r="O155" s="5"/>
      <c r="P155" s="5"/>
      <c r="Q155" s="5"/>
    </row>
    <row r="156" spans="1:17">
      <c r="A156" s="14"/>
      <c r="B156" s="26"/>
      <c r="C156" s="5"/>
      <c r="D156" s="5"/>
      <c r="E156" s="4"/>
      <c r="F156" s="4"/>
      <c r="G156" s="4"/>
      <c r="H156" s="4"/>
      <c r="I156" s="4"/>
      <c r="J156" s="4"/>
      <c r="K156" s="5"/>
      <c r="L156" s="5"/>
      <c r="M156" s="5"/>
      <c r="N156" s="4"/>
      <c r="O156" s="5"/>
      <c r="P156" s="5"/>
      <c r="Q156" s="5"/>
    </row>
    <row r="157" spans="1:17">
      <c r="A157" s="14"/>
      <c r="B157" s="26"/>
      <c r="C157" s="5"/>
      <c r="D157" s="5"/>
      <c r="E157" s="4"/>
      <c r="F157" s="4"/>
      <c r="G157" s="4"/>
      <c r="H157" s="4"/>
      <c r="I157" s="4"/>
      <c r="J157" s="4"/>
      <c r="K157" s="5"/>
      <c r="L157" s="5"/>
      <c r="M157" s="5"/>
      <c r="N157" s="4"/>
      <c r="O157" s="5"/>
      <c r="P157" s="5"/>
      <c r="Q157" s="5"/>
    </row>
    <row r="158" spans="1:17">
      <c r="A158" s="14"/>
      <c r="B158" s="26"/>
      <c r="C158" s="5"/>
      <c r="D158" s="5"/>
      <c r="E158" s="4"/>
      <c r="F158" s="4"/>
      <c r="G158" s="4"/>
      <c r="H158" s="4"/>
      <c r="I158" s="4"/>
      <c r="J158" s="4"/>
      <c r="K158" s="5"/>
      <c r="L158" s="5"/>
      <c r="M158" s="5"/>
      <c r="N158" s="4"/>
      <c r="O158" s="5"/>
      <c r="P158" s="5"/>
      <c r="Q158" s="5"/>
    </row>
    <row r="159" spans="1:17" ht="14.5" thickBot="1">
      <c r="A159" s="14"/>
      <c r="B159" s="26"/>
      <c r="C159" s="5"/>
      <c r="D159" s="5"/>
      <c r="E159" s="4"/>
      <c r="F159" s="4"/>
      <c r="G159" s="4"/>
      <c r="H159" s="4"/>
      <c r="I159" s="4"/>
      <c r="J159" s="4"/>
      <c r="K159" s="5"/>
      <c r="L159" s="5"/>
      <c r="M159" s="5"/>
      <c r="N159" s="4"/>
      <c r="O159" s="5"/>
      <c r="P159" s="5"/>
      <c r="Q159" s="5"/>
    </row>
    <row r="160" spans="1:17">
      <c r="A160" s="12"/>
      <c r="B160" s="25"/>
      <c r="C160" s="3"/>
      <c r="D160" s="3"/>
      <c r="E160" s="2"/>
      <c r="F160" s="2"/>
      <c r="G160" s="2"/>
      <c r="H160" s="2"/>
      <c r="I160" s="2"/>
      <c r="J160" s="2"/>
      <c r="K160" s="3"/>
      <c r="L160" s="3"/>
      <c r="M160" s="3"/>
      <c r="N160" s="2"/>
      <c r="O160" s="3"/>
      <c r="P160" s="3"/>
      <c r="Q160" s="3"/>
    </row>
    <row r="161" spans="1:17">
      <c r="A161" s="14"/>
      <c r="B161" s="26"/>
      <c r="C161" s="5"/>
      <c r="D161" s="5"/>
      <c r="E161" s="4"/>
      <c r="F161" s="4"/>
      <c r="G161" s="4"/>
      <c r="H161" s="4"/>
      <c r="I161" s="4"/>
      <c r="J161" s="4"/>
      <c r="K161" s="5"/>
      <c r="L161" s="5"/>
      <c r="M161" s="5"/>
      <c r="N161" s="4"/>
      <c r="O161" s="5"/>
      <c r="P161" s="5"/>
      <c r="Q161" s="5"/>
    </row>
    <row r="162" spans="1:17">
      <c r="A162" s="14"/>
      <c r="B162" s="26"/>
      <c r="C162" s="5"/>
      <c r="D162" s="5"/>
      <c r="E162" s="4"/>
      <c r="F162" s="4"/>
      <c r="G162" s="4"/>
      <c r="H162" s="4"/>
      <c r="I162" s="4"/>
      <c r="J162" s="4"/>
      <c r="K162" s="5"/>
      <c r="L162" s="5"/>
      <c r="M162" s="5"/>
      <c r="N162" s="4"/>
      <c r="O162" s="5"/>
      <c r="P162" s="5"/>
      <c r="Q162" s="5"/>
    </row>
    <row r="163" spans="1:17">
      <c r="A163" s="14"/>
      <c r="B163" s="26"/>
      <c r="C163" s="5"/>
      <c r="D163" s="5"/>
      <c r="E163" s="4"/>
      <c r="F163" s="4"/>
      <c r="G163" s="4"/>
      <c r="H163" s="4"/>
      <c r="I163" s="4"/>
      <c r="J163" s="4"/>
      <c r="K163" s="5"/>
      <c r="L163" s="5"/>
      <c r="M163" s="5"/>
      <c r="N163" s="4"/>
      <c r="O163" s="5"/>
      <c r="P163" s="5"/>
      <c r="Q163" s="5"/>
    </row>
    <row r="164" spans="1:17">
      <c r="A164" s="14"/>
      <c r="B164" s="26"/>
      <c r="C164" s="5"/>
      <c r="D164" s="5"/>
      <c r="E164" s="4"/>
      <c r="F164" s="4"/>
      <c r="G164" s="4"/>
      <c r="H164" s="4"/>
      <c r="I164" s="4"/>
      <c r="J164" s="4"/>
      <c r="K164" s="5"/>
      <c r="L164" s="5"/>
      <c r="M164" s="5"/>
      <c r="N164" s="4"/>
      <c r="O164" s="5"/>
      <c r="P164" s="5"/>
      <c r="Q164" s="5"/>
    </row>
    <row r="165" spans="1:17">
      <c r="A165" s="14"/>
      <c r="B165" s="26"/>
      <c r="C165" s="5"/>
      <c r="D165" s="5"/>
      <c r="E165" s="4"/>
      <c r="F165" s="4"/>
      <c r="G165" s="4"/>
      <c r="H165" s="4"/>
      <c r="I165" s="4"/>
      <c r="J165" s="4"/>
      <c r="K165" s="5"/>
      <c r="L165" s="5"/>
      <c r="M165" s="5"/>
      <c r="N165" s="4"/>
      <c r="O165" s="5"/>
      <c r="P165" s="5"/>
      <c r="Q165" s="5"/>
    </row>
    <row r="166" spans="1:17">
      <c r="A166" s="14"/>
      <c r="B166" s="26"/>
      <c r="C166" s="5"/>
      <c r="D166" s="5"/>
      <c r="E166" s="4"/>
      <c r="F166" s="4"/>
      <c r="G166" s="4"/>
      <c r="H166" s="4"/>
      <c r="I166" s="4"/>
      <c r="J166" s="4"/>
      <c r="K166" s="5"/>
      <c r="L166" s="5"/>
      <c r="M166" s="5"/>
      <c r="N166" s="4"/>
      <c r="O166" s="5"/>
      <c r="P166" s="5"/>
      <c r="Q166" s="5"/>
    </row>
    <row r="167" spans="1:17">
      <c r="A167" s="14"/>
      <c r="B167" s="26"/>
      <c r="C167" s="5"/>
      <c r="D167" s="5"/>
      <c r="E167" s="4"/>
      <c r="F167" s="4"/>
      <c r="G167" s="4"/>
      <c r="H167" s="4"/>
      <c r="I167" s="4"/>
      <c r="J167" s="4"/>
      <c r="K167" s="5"/>
      <c r="L167" s="5"/>
      <c r="M167" s="5"/>
      <c r="N167" s="4"/>
      <c r="O167" s="5"/>
      <c r="P167" s="5"/>
      <c r="Q167" s="5"/>
    </row>
    <row r="168" spans="1:17">
      <c r="A168" s="14"/>
      <c r="B168" s="26"/>
      <c r="C168" s="5"/>
      <c r="D168" s="5"/>
      <c r="E168" s="4"/>
      <c r="F168" s="4"/>
      <c r="G168" s="4"/>
      <c r="H168" s="4"/>
      <c r="I168" s="4"/>
      <c r="J168" s="4"/>
      <c r="K168" s="5"/>
      <c r="L168" s="5"/>
      <c r="M168" s="5"/>
      <c r="N168" s="4"/>
      <c r="O168" s="5"/>
      <c r="P168" s="5"/>
      <c r="Q168" s="5"/>
    </row>
    <row r="169" spans="1:17" ht="14.5" thickBot="1">
      <c r="A169" s="14"/>
      <c r="B169" s="26"/>
      <c r="C169" s="5"/>
      <c r="D169" s="5"/>
      <c r="E169" s="4"/>
      <c r="F169" s="4"/>
      <c r="G169" s="4"/>
      <c r="H169" s="4"/>
      <c r="I169" s="4"/>
      <c r="J169" s="4"/>
      <c r="K169" s="5"/>
      <c r="L169" s="5"/>
      <c r="M169" s="5"/>
      <c r="N169" s="4"/>
      <c r="O169" s="5"/>
      <c r="P169" s="5"/>
      <c r="Q169" s="5"/>
    </row>
    <row r="170" spans="1:17">
      <c r="A170" s="12"/>
      <c r="B170" s="25"/>
      <c r="C170" s="3"/>
      <c r="D170" s="3"/>
      <c r="E170" s="2"/>
      <c r="F170" s="2"/>
      <c r="G170" s="2"/>
      <c r="H170" s="2"/>
      <c r="I170" s="2"/>
      <c r="J170" s="2"/>
      <c r="K170" s="3"/>
      <c r="L170" s="3"/>
      <c r="M170" s="3"/>
      <c r="N170" s="2"/>
      <c r="O170" s="3"/>
      <c r="P170" s="3"/>
      <c r="Q170" s="3"/>
    </row>
    <row r="171" spans="1:17">
      <c r="A171" s="14"/>
      <c r="B171" s="26"/>
      <c r="C171" s="5"/>
      <c r="D171" s="5"/>
      <c r="E171" s="4"/>
      <c r="F171" s="4"/>
      <c r="G171" s="4"/>
      <c r="H171" s="4"/>
      <c r="I171" s="4"/>
      <c r="J171" s="4"/>
      <c r="K171" s="5"/>
      <c r="L171" s="5"/>
      <c r="M171" s="5"/>
      <c r="N171" s="4"/>
      <c r="O171" s="5"/>
      <c r="P171" s="5"/>
      <c r="Q171" s="5"/>
    </row>
    <row r="172" spans="1:17">
      <c r="A172" s="14"/>
      <c r="B172" s="26"/>
      <c r="C172" s="5"/>
      <c r="D172" s="5"/>
      <c r="E172" s="4"/>
      <c r="F172" s="4"/>
      <c r="G172" s="4"/>
      <c r="H172" s="4"/>
      <c r="I172" s="4"/>
      <c r="J172" s="4"/>
      <c r="K172" s="5"/>
      <c r="L172" s="5"/>
      <c r="M172" s="5"/>
      <c r="N172" s="4"/>
      <c r="O172" s="5"/>
      <c r="P172" s="5"/>
      <c r="Q172" s="5"/>
    </row>
    <row r="173" spans="1:17">
      <c r="A173" s="14"/>
      <c r="B173" s="26"/>
      <c r="C173" s="5"/>
      <c r="D173" s="5"/>
      <c r="E173" s="4"/>
      <c r="F173" s="4"/>
      <c r="G173" s="4"/>
      <c r="H173" s="4"/>
      <c r="I173" s="4"/>
      <c r="J173" s="4"/>
      <c r="K173" s="5"/>
      <c r="L173" s="5"/>
      <c r="M173" s="5"/>
      <c r="N173" s="4"/>
      <c r="O173" s="5"/>
      <c r="P173" s="5"/>
      <c r="Q173" s="5"/>
    </row>
    <row r="174" spans="1:17">
      <c r="A174" s="14"/>
      <c r="B174" s="26"/>
      <c r="C174" s="5"/>
      <c r="D174" s="5"/>
      <c r="E174" s="4"/>
      <c r="F174" s="4"/>
      <c r="G174" s="4"/>
      <c r="H174" s="4"/>
      <c r="I174" s="4"/>
      <c r="J174" s="4"/>
      <c r="K174" s="5"/>
      <c r="L174" s="5"/>
      <c r="M174" s="5"/>
      <c r="N174" s="4"/>
      <c r="O174" s="5"/>
      <c r="P174" s="5"/>
      <c r="Q174" s="5"/>
    </row>
    <row r="175" spans="1:17">
      <c r="A175" s="14"/>
      <c r="B175" s="26"/>
      <c r="C175" s="5"/>
      <c r="D175" s="5"/>
      <c r="E175" s="4"/>
      <c r="F175" s="4"/>
      <c r="G175" s="4"/>
      <c r="H175" s="4"/>
      <c r="I175" s="4"/>
      <c r="J175" s="4"/>
      <c r="K175" s="5"/>
      <c r="L175" s="5"/>
      <c r="M175" s="5"/>
      <c r="N175" s="4"/>
      <c r="O175" s="5"/>
      <c r="P175" s="5"/>
      <c r="Q175" s="5"/>
    </row>
    <row r="176" spans="1:17">
      <c r="A176" s="14"/>
      <c r="B176" s="26"/>
      <c r="C176" s="5"/>
      <c r="D176" s="5"/>
      <c r="E176" s="4"/>
      <c r="F176" s="4"/>
      <c r="G176" s="4"/>
      <c r="H176" s="4"/>
      <c r="I176" s="4"/>
      <c r="J176" s="4"/>
      <c r="K176" s="5"/>
      <c r="L176" s="5"/>
      <c r="M176" s="5"/>
      <c r="N176" s="4"/>
      <c r="O176" s="5"/>
      <c r="P176" s="5"/>
      <c r="Q176" s="5"/>
    </row>
    <row r="177" spans="1:17">
      <c r="A177" s="14"/>
      <c r="B177" s="26"/>
      <c r="C177" s="5"/>
      <c r="D177" s="5"/>
      <c r="E177" s="4"/>
      <c r="F177" s="4"/>
      <c r="G177" s="4"/>
      <c r="H177" s="4"/>
      <c r="I177" s="4"/>
      <c r="J177" s="4"/>
      <c r="K177" s="5"/>
      <c r="L177" s="5"/>
      <c r="M177" s="5"/>
      <c r="N177" s="4"/>
      <c r="O177" s="5"/>
      <c r="P177" s="5"/>
      <c r="Q177" s="5"/>
    </row>
    <row r="178" spans="1:17">
      <c r="A178" s="14"/>
      <c r="B178" s="26"/>
      <c r="C178" s="5"/>
      <c r="D178" s="5"/>
      <c r="E178" s="4"/>
      <c r="F178" s="4"/>
      <c r="G178" s="4"/>
      <c r="H178" s="4"/>
      <c r="I178" s="4"/>
      <c r="J178" s="4"/>
      <c r="K178" s="5"/>
      <c r="L178" s="5"/>
      <c r="M178" s="5"/>
      <c r="N178" s="4"/>
      <c r="O178" s="5"/>
      <c r="P178" s="5"/>
      <c r="Q178" s="5"/>
    </row>
    <row r="179" spans="1:17" ht="14.5" thickBot="1">
      <c r="A179" s="14"/>
      <c r="B179" s="26"/>
      <c r="C179" s="5"/>
      <c r="D179" s="5"/>
      <c r="E179" s="4"/>
      <c r="F179" s="4"/>
      <c r="G179" s="4"/>
      <c r="H179" s="4"/>
      <c r="I179" s="4"/>
      <c r="J179" s="4"/>
      <c r="K179" s="5"/>
      <c r="L179" s="5"/>
      <c r="M179" s="5"/>
      <c r="N179" s="4"/>
      <c r="O179" s="5"/>
      <c r="P179" s="5"/>
      <c r="Q179" s="5"/>
    </row>
    <row r="180" spans="1:17">
      <c r="A180" s="12"/>
      <c r="B180" s="25"/>
      <c r="C180" s="3"/>
      <c r="D180" s="3"/>
      <c r="E180" s="2"/>
      <c r="F180" s="2"/>
      <c r="G180" s="2"/>
      <c r="H180" s="2"/>
      <c r="I180" s="2"/>
      <c r="J180" s="2"/>
      <c r="K180" s="3"/>
      <c r="L180" s="3"/>
      <c r="M180" s="3"/>
      <c r="N180" s="2"/>
      <c r="O180" s="3"/>
      <c r="P180" s="3"/>
      <c r="Q180" s="3"/>
    </row>
    <row r="181" spans="1:17">
      <c r="A181" s="14"/>
      <c r="B181" s="26"/>
      <c r="C181" s="5"/>
      <c r="D181" s="5"/>
      <c r="E181" s="4"/>
      <c r="F181" s="4"/>
      <c r="G181" s="4"/>
      <c r="H181" s="4"/>
      <c r="I181" s="4"/>
      <c r="J181" s="4"/>
      <c r="K181" s="5"/>
      <c r="L181" s="5"/>
      <c r="M181" s="5"/>
      <c r="N181" s="4"/>
      <c r="O181" s="5"/>
      <c r="P181" s="5"/>
      <c r="Q181" s="5"/>
    </row>
    <row r="182" spans="1:17">
      <c r="A182" s="14"/>
      <c r="B182" s="26"/>
      <c r="C182" s="5"/>
      <c r="D182" s="5"/>
      <c r="E182" s="4"/>
      <c r="F182" s="4"/>
      <c r="G182" s="4"/>
      <c r="H182" s="4"/>
      <c r="I182" s="4"/>
      <c r="J182" s="4"/>
      <c r="K182" s="5"/>
      <c r="L182" s="5"/>
      <c r="M182" s="5"/>
      <c r="N182" s="4"/>
      <c r="O182" s="5"/>
      <c r="P182" s="5"/>
      <c r="Q182" s="5"/>
    </row>
    <row r="183" spans="1:17">
      <c r="A183" s="14"/>
      <c r="B183" s="26"/>
      <c r="C183" s="5"/>
      <c r="D183" s="5"/>
      <c r="E183" s="4"/>
      <c r="F183" s="4"/>
      <c r="G183" s="4"/>
      <c r="H183" s="4"/>
      <c r="I183" s="4"/>
      <c r="J183" s="4"/>
      <c r="K183" s="5"/>
      <c r="L183" s="5"/>
      <c r="M183" s="5"/>
      <c r="N183" s="4"/>
      <c r="O183" s="5"/>
      <c r="P183" s="5"/>
      <c r="Q183" s="5"/>
    </row>
    <row r="184" spans="1:17">
      <c r="A184" s="14"/>
      <c r="B184" s="26"/>
      <c r="C184" s="5"/>
      <c r="D184" s="5"/>
      <c r="E184" s="4"/>
      <c r="F184" s="4"/>
      <c r="G184" s="4"/>
      <c r="H184" s="4"/>
      <c r="I184" s="4"/>
      <c r="J184" s="4"/>
      <c r="K184" s="5"/>
      <c r="L184" s="5"/>
      <c r="M184" s="5"/>
      <c r="N184" s="4"/>
      <c r="O184" s="5"/>
      <c r="P184" s="5"/>
      <c r="Q184" s="5"/>
    </row>
    <row r="185" spans="1:17">
      <c r="A185" s="14"/>
      <c r="B185" s="26"/>
      <c r="C185" s="5"/>
      <c r="D185" s="5"/>
      <c r="E185" s="4"/>
      <c r="F185" s="4"/>
      <c r="G185" s="4"/>
      <c r="H185" s="4"/>
      <c r="I185" s="4"/>
      <c r="J185" s="4"/>
      <c r="K185" s="5"/>
      <c r="L185" s="5"/>
      <c r="M185" s="5"/>
      <c r="N185" s="4"/>
      <c r="O185" s="5"/>
      <c r="P185" s="5"/>
      <c r="Q185" s="5"/>
    </row>
    <row r="186" spans="1:17">
      <c r="A186" s="14"/>
      <c r="B186" s="26"/>
      <c r="C186" s="5"/>
      <c r="D186" s="5"/>
      <c r="E186" s="4"/>
      <c r="F186" s="4"/>
      <c r="G186" s="4"/>
      <c r="H186" s="4"/>
      <c r="I186" s="4"/>
      <c r="J186" s="4"/>
      <c r="K186" s="5"/>
      <c r="L186" s="5"/>
      <c r="M186" s="5"/>
      <c r="N186" s="4"/>
      <c r="O186" s="5"/>
      <c r="P186" s="5"/>
      <c r="Q186" s="5"/>
    </row>
    <row r="187" spans="1:17">
      <c r="A187" s="14"/>
      <c r="B187" s="26"/>
      <c r="C187" s="5"/>
      <c r="D187" s="5"/>
      <c r="E187" s="4"/>
      <c r="F187" s="4"/>
      <c r="G187" s="4"/>
      <c r="H187" s="4"/>
      <c r="I187" s="4"/>
      <c r="J187" s="4"/>
      <c r="K187" s="5"/>
      <c r="L187" s="5"/>
      <c r="M187" s="5"/>
      <c r="N187" s="4"/>
      <c r="O187" s="5"/>
      <c r="P187" s="5"/>
      <c r="Q187" s="5"/>
    </row>
    <row r="188" spans="1:17">
      <c r="A188" s="14"/>
      <c r="B188" s="26"/>
      <c r="C188" s="5"/>
      <c r="D188" s="5"/>
      <c r="E188" s="4"/>
      <c r="F188" s="4"/>
      <c r="G188" s="4"/>
      <c r="H188" s="4"/>
      <c r="I188" s="4"/>
      <c r="J188" s="4"/>
      <c r="K188" s="5"/>
      <c r="L188" s="5"/>
      <c r="M188" s="5"/>
      <c r="N188" s="4"/>
      <c r="O188" s="5"/>
      <c r="P188" s="5"/>
      <c r="Q188" s="5"/>
    </row>
    <row r="189" spans="1:17" ht="14.5" thickBot="1">
      <c r="A189" s="14"/>
      <c r="B189" s="26"/>
      <c r="C189" s="5"/>
      <c r="D189" s="5"/>
      <c r="E189" s="4"/>
      <c r="F189" s="4"/>
      <c r="G189" s="4"/>
      <c r="H189" s="4"/>
      <c r="I189" s="4"/>
      <c r="J189" s="4"/>
      <c r="K189" s="5"/>
      <c r="L189" s="5"/>
      <c r="M189" s="5"/>
      <c r="N189" s="4"/>
      <c r="O189" s="5"/>
      <c r="P189" s="5"/>
      <c r="Q189" s="5"/>
    </row>
    <row r="190" spans="1:17">
      <c r="A190" s="12"/>
      <c r="B190" s="25"/>
      <c r="C190" s="3"/>
      <c r="D190" s="3"/>
      <c r="E190" s="2"/>
      <c r="F190" s="2"/>
      <c r="G190" s="2"/>
      <c r="H190" s="2"/>
      <c r="I190" s="2"/>
      <c r="J190" s="2"/>
      <c r="K190" s="3"/>
      <c r="L190" s="3"/>
      <c r="M190" s="3"/>
      <c r="N190" s="2"/>
      <c r="O190" s="3"/>
      <c r="P190" s="3"/>
      <c r="Q190" s="3"/>
    </row>
    <row r="191" spans="1:17">
      <c r="A191" s="14"/>
      <c r="B191" s="26"/>
      <c r="C191" s="5"/>
      <c r="D191" s="5"/>
      <c r="E191" s="4"/>
      <c r="F191" s="4"/>
      <c r="G191" s="4"/>
      <c r="H191" s="4"/>
      <c r="I191" s="4"/>
      <c r="J191" s="4"/>
      <c r="K191" s="5"/>
      <c r="L191" s="5"/>
      <c r="M191" s="5"/>
      <c r="N191" s="4"/>
      <c r="O191" s="5"/>
      <c r="P191" s="5"/>
      <c r="Q191" s="5"/>
    </row>
    <row r="192" spans="1:17">
      <c r="A192" s="14"/>
      <c r="B192" s="26"/>
      <c r="C192" s="5"/>
      <c r="D192" s="5"/>
      <c r="E192" s="4"/>
      <c r="F192" s="4"/>
      <c r="G192" s="4"/>
      <c r="H192" s="4"/>
      <c r="I192" s="4"/>
      <c r="J192" s="4"/>
      <c r="K192" s="5"/>
      <c r="L192" s="5"/>
      <c r="M192" s="5"/>
      <c r="N192" s="4"/>
      <c r="O192" s="5"/>
      <c r="P192" s="5"/>
      <c r="Q192" s="5"/>
    </row>
    <row r="193" spans="1:17" ht="14.5" thickBot="1">
      <c r="A193" s="14"/>
      <c r="B193" s="26"/>
      <c r="C193" s="5"/>
      <c r="D193" s="5"/>
      <c r="E193" s="4"/>
      <c r="F193" s="4"/>
      <c r="G193" s="4"/>
      <c r="H193" s="4"/>
      <c r="I193" s="4"/>
      <c r="J193" s="4"/>
      <c r="K193" s="5"/>
      <c r="L193" s="5"/>
      <c r="M193" s="5"/>
      <c r="N193" s="4"/>
      <c r="O193" s="5"/>
      <c r="P193" s="5"/>
      <c r="Q193" s="5"/>
    </row>
    <row r="194" spans="1:17">
      <c r="A194" s="12"/>
      <c r="B194" s="25"/>
      <c r="C194" s="3"/>
      <c r="D194" s="3"/>
      <c r="E194" s="2"/>
      <c r="F194" s="2"/>
      <c r="G194" s="2"/>
      <c r="H194" s="2"/>
      <c r="I194" s="2"/>
      <c r="J194" s="2"/>
      <c r="K194" s="3"/>
      <c r="L194" s="3"/>
      <c r="M194" s="3"/>
      <c r="N194" s="2"/>
      <c r="O194" s="3"/>
      <c r="P194" s="3"/>
      <c r="Q194" s="3"/>
    </row>
    <row r="195" spans="1:17">
      <c r="A195" s="14"/>
      <c r="B195" s="26"/>
      <c r="C195" s="5"/>
      <c r="D195" s="5"/>
      <c r="E195" s="4"/>
      <c r="F195" s="4"/>
      <c r="G195" s="4"/>
      <c r="H195" s="4"/>
      <c r="I195" s="4"/>
      <c r="J195" s="4"/>
      <c r="K195" s="5"/>
      <c r="L195" s="5"/>
      <c r="M195" s="5"/>
      <c r="N195" s="4"/>
      <c r="O195" s="5"/>
      <c r="P195" s="5"/>
      <c r="Q195" s="5"/>
    </row>
    <row r="196" spans="1:17">
      <c r="A196" s="14"/>
      <c r="B196" s="26"/>
      <c r="C196" s="5"/>
      <c r="D196" s="5"/>
      <c r="E196" s="4"/>
      <c r="F196" s="4"/>
      <c r="G196" s="4"/>
      <c r="H196" s="4"/>
      <c r="I196" s="4"/>
      <c r="J196" s="4"/>
      <c r="K196" s="5"/>
      <c r="L196" s="5"/>
      <c r="M196" s="5"/>
      <c r="N196" s="4"/>
      <c r="O196" s="5"/>
      <c r="P196" s="5"/>
      <c r="Q196" s="5"/>
    </row>
    <row r="197" spans="1:17">
      <c r="A197" s="14"/>
      <c r="B197" s="26"/>
      <c r="C197" s="5"/>
      <c r="D197" s="5"/>
      <c r="E197" s="4"/>
      <c r="F197" s="4"/>
      <c r="G197" s="4"/>
      <c r="H197" s="4"/>
      <c r="I197" s="4"/>
      <c r="J197" s="4"/>
      <c r="K197" s="5"/>
      <c r="L197" s="5"/>
      <c r="M197" s="5"/>
      <c r="N197" s="4"/>
      <c r="O197" s="5"/>
      <c r="P197" s="5"/>
      <c r="Q197" s="5"/>
    </row>
    <row r="198" spans="1:17">
      <c r="A198" s="14"/>
      <c r="B198" s="26"/>
      <c r="C198" s="5"/>
      <c r="D198" s="5"/>
      <c r="E198" s="4"/>
      <c r="F198" s="4"/>
      <c r="G198" s="4"/>
      <c r="H198" s="4"/>
      <c r="I198" s="4"/>
      <c r="J198" s="4"/>
      <c r="K198" s="5"/>
      <c r="L198" s="5"/>
      <c r="M198" s="5"/>
      <c r="N198" s="4"/>
      <c r="O198" s="5"/>
      <c r="P198" s="5"/>
      <c r="Q198" s="5"/>
    </row>
    <row r="199" spans="1:17" ht="14.5" thickBot="1">
      <c r="A199" s="14"/>
      <c r="B199" s="26"/>
      <c r="C199" s="5"/>
      <c r="D199" s="5"/>
      <c r="E199" s="4"/>
      <c r="F199" s="4"/>
      <c r="G199" s="4"/>
      <c r="H199" s="4"/>
      <c r="I199" s="4"/>
      <c r="J199" s="4"/>
      <c r="K199" s="5"/>
      <c r="L199" s="5"/>
      <c r="M199" s="5"/>
      <c r="N199" s="4"/>
      <c r="O199" s="5"/>
      <c r="P199" s="5"/>
      <c r="Q199" s="5"/>
    </row>
    <row r="200" spans="1:17">
      <c r="A200" s="12"/>
      <c r="B200" s="25"/>
      <c r="C200" s="3"/>
      <c r="D200" s="3"/>
      <c r="E200" s="2"/>
      <c r="F200" s="2"/>
      <c r="G200" s="2"/>
      <c r="H200" s="2"/>
      <c r="I200" s="2"/>
      <c r="J200" s="2"/>
      <c r="K200" s="3"/>
      <c r="L200" s="3"/>
      <c r="M200" s="3"/>
      <c r="N200" s="2"/>
      <c r="O200" s="3"/>
      <c r="P200" s="3"/>
      <c r="Q200" s="3"/>
    </row>
    <row r="201" spans="1:17">
      <c r="A201" s="14"/>
      <c r="B201" s="26"/>
      <c r="C201" s="5"/>
      <c r="D201" s="5"/>
      <c r="E201" s="4"/>
      <c r="F201" s="4"/>
      <c r="G201" s="4"/>
      <c r="H201" s="4"/>
      <c r="I201" s="4"/>
      <c r="J201" s="4"/>
      <c r="K201" s="5"/>
      <c r="L201" s="5"/>
      <c r="M201" s="5"/>
      <c r="N201" s="4"/>
      <c r="O201" s="5"/>
      <c r="P201" s="5"/>
      <c r="Q201" s="5"/>
    </row>
    <row r="202" spans="1:17">
      <c r="A202" s="14"/>
      <c r="B202" s="26"/>
      <c r="C202" s="5"/>
      <c r="D202" s="5"/>
      <c r="E202" s="4"/>
      <c r="F202" s="4"/>
      <c r="G202" s="4"/>
      <c r="H202" s="4"/>
      <c r="I202" s="4"/>
      <c r="J202" s="4"/>
      <c r="K202" s="5"/>
      <c r="L202" s="5"/>
      <c r="M202" s="5"/>
      <c r="N202" s="4"/>
      <c r="O202" s="5"/>
      <c r="P202" s="5"/>
      <c r="Q202" s="5"/>
    </row>
    <row r="203" spans="1:17">
      <c r="A203" s="14"/>
      <c r="B203" s="26"/>
      <c r="C203" s="5"/>
      <c r="D203" s="5"/>
      <c r="E203" s="4"/>
      <c r="F203" s="4"/>
      <c r="G203" s="4"/>
      <c r="H203" s="4"/>
      <c r="I203" s="4"/>
      <c r="J203" s="4"/>
      <c r="K203" s="5"/>
      <c r="L203" s="5"/>
      <c r="M203" s="5"/>
      <c r="N203" s="4"/>
      <c r="O203" s="5"/>
      <c r="P203" s="5"/>
      <c r="Q203" s="5"/>
    </row>
    <row r="204" spans="1:17">
      <c r="A204" s="14"/>
      <c r="B204" s="26"/>
      <c r="C204" s="5"/>
      <c r="D204" s="5"/>
      <c r="E204" s="4"/>
      <c r="F204" s="4"/>
      <c r="G204" s="4"/>
      <c r="H204" s="4"/>
      <c r="I204" s="4"/>
      <c r="J204" s="4"/>
      <c r="K204" s="5"/>
      <c r="L204" s="5"/>
      <c r="M204" s="5"/>
      <c r="N204" s="4"/>
      <c r="O204" s="5"/>
      <c r="P204" s="5"/>
      <c r="Q204" s="5"/>
    </row>
    <row r="205" spans="1:17">
      <c r="A205" s="14"/>
      <c r="B205" s="26"/>
      <c r="C205" s="5"/>
      <c r="D205" s="5"/>
      <c r="E205" s="4"/>
      <c r="F205" s="4"/>
      <c r="G205" s="4"/>
      <c r="H205" s="4"/>
      <c r="I205" s="4"/>
      <c r="J205" s="4"/>
      <c r="K205" s="5"/>
      <c r="L205" s="5"/>
      <c r="M205" s="5"/>
      <c r="N205" s="4"/>
      <c r="O205" s="5"/>
      <c r="P205" s="5"/>
      <c r="Q205" s="5"/>
    </row>
    <row r="206" spans="1:17">
      <c r="A206" s="14"/>
      <c r="B206" s="26"/>
      <c r="C206" s="5"/>
      <c r="D206" s="5"/>
      <c r="E206" s="4"/>
      <c r="F206" s="4"/>
      <c r="G206" s="4"/>
      <c r="H206" s="4"/>
      <c r="I206" s="4"/>
      <c r="J206" s="4"/>
      <c r="K206" s="5"/>
      <c r="L206" s="5"/>
      <c r="M206" s="5"/>
      <c r="N206" s="4"/>
      <c r="O206" s="5"/>
      <c r="P206" s="5"/>
      <c r="Q206" s="5"/>
    </row>
    <row r="207" spans="1:17">
      <c r="A207" s="14"/>
      <c r="B207" s="26"/>
      <c r="C207" s="5"/>
      <c r="D207" s="5"/>
      <c r="E207" s="4"/>
      <c r="F207" s="4"/>
      <c r="G207" s="4"/>
      <c r="H207" s="4"/>
      <c r="I207" s="4"/>
      <c r="J207" s="4"/>
      <c r="K207" s="5"/>
      <c r="L207" s="5"/>
      <c r="M207" s="5"/>
      <c r="N207" s="4"/>
      <c r="O207" s="5"/>
      <c r="P207" s="5"/>
      <c r="Q207" s="5"/>
    </row>
    <row r="208" spans="1:17">
      <c r="A208" s="14"/>
      <c r="B208" s="26"/>
      <c r="C208" s="5"/>
      <c r="D208" s="5"/>
      <c r="E208" s="4"/>
      <c r="F208" s="4"/>
      <c r="G208" s="4"/>
      <c r="H208" s="4"/>
      <c r="I208" s="4"/>
      <c r="J208" s="4"/>
      <c r="K208" s="5"/>
      <c r="L208" s="5"/>
      <c r="M208" s="5"/>
      <c r="N208" s="4"/>
      <c r="O208" s="5"/>
      <c r="P208" s="5"/>
      <c r="Q208" s="5"/>
    </row>
    <row r="209" spans="1:17" ht="14.5" thickBot="1">
      <c r="A209" s="14"/>
      <c r="B209" s="26"/>
      <c r="C209" s="5"/>
      <c r="D209" s="5"/>
      <c r="E209" s="4"/>
      <c r="F209" s="4"/>
      <c r="G209" s="4"/>
      <c r="H209" s="4"/>
      <c r="I209" s="4"/>
      <c r="J209" s="4"/>
      <c r="K209" s="5"/>
      <c r="L209" s="5"/>
      <c r="M209" s="5"/>
      <c r="N209" s="4"/>
      <c r="O209" s="5"/>
      <c r="P209" s="5"/>
      <c r="Q209" s="5"/>
    </row>
    <row r="210" spans="1:17">
      <c r="A210" s="12"/>
      <c r="B210" s="25"/>
      <c r="C210" s="3"/>
      <c r="D210" s="3"/>
      <c r="E210" s="2"/>
      <c r="F210" s="2"/>
      <c r="G210" s="2"/>
      <c r="H210" s="2"/>
      <c r="I210" s="2"/>
      <c r="J210" s="2"/>
      <c r="K210" s="3"/>
      <c r="L210" s="3"/>
      <c r="M210" s="3"/>
      <c r="N210" s="2"/>
      <c r="O210" s="3"/>
      <c r="P210" s="3"/>
      <c r="Q210" s="3"/>
    </row>
    <row r="211" spans="1:17">
      <c r="A211" s="14"/>
      <c r="B211" s="26"/>
      <c r="C211" s="5"/>
      <c r="D211" s="5"/>
      <c r="E211" s="4"/>
      <c r="F211" s="4"/>
      <c r="G211" s="4"/>
      <c r="H211" s="4"/>
      <c r="I211" s="4"/>
      <c r="J211" s="4"/>
      <c r="K211" s="5"/>
      <c r="L211" s="5"/>
      <c r="M211" s="5"/>
      <c r="N211" s="4"/>
      <c r="O211" s="5"/>
      <c r="P211" s="5"/>
      <c r="Q211" s="5"/>
    </row>
    <row r="212" spans="1:17">
      <c r="A212" s="14"/>
      <c r="B212" s="26"/>
      <c r="C212" s="5"/>
      <c r="D212" s="5"/>
      <c r="E212" s="4"/>
      <c r="F212" s="4"/>
      <c r="G212" s="4"/>
      <c r="H212" s="4"/>
      <c r="I212" s="4"/>
      <c r="J212" s="4"/>
      <c r="K212" s="5"/>
      <c r="L212" s="5"/>
      <c r="M212" s="5"/>
      <c r="N212" s="4"/>
      <c r="O212" s="5"/>
      <c r="P212" s="5"/>
      <c r="Q212" s="5"/>
    </row>
    <row r="213" spans="1:17" ht="14.5" thickBot="1">
      <c r="A213" s="14"/>
      <c r="B213" s="26"/>
      <c r="C213" s="5"/>
      <c r="D213" s="5"/>
      <c r="E213" s="4"/>
      <c r="F213" s="4"/>
      <c r="G213" s="4"/>
      <c r="H213" s="4"/>
      <c r="I213" s="4"/>
      <c r="J213" s="4"/>
      <c r="K213" s="5"/>
      <c r="L213" s="5"/>
      <c r="M213" s="5"/>
      <c r="N213" s="4"/>
      <c r="O213" s="5"/>
      <c r="P213" s="5"/>
      <c r="Q213" s="5"/>
    </row>
    <row r="214" spans="1:17">
      <c r="A214" s="12"/>
      <c r="B214" s="25"/>
      <c r="C214" s="3"/>
      <c r="D214" s="3"/>
      <c r="E214" s="2"/>
      <c r="F214" s="2"/>
      <c r="G214" s="2"/>
      <c r="H214" s="2"/>
      <c r="I214" s="2"/>
      <c r="J214" s="2"/>
      <c r="K214" s="3"/>
      <c r="L214" s="3"/>
      <c r="M214" s="3"/>
      <c r="N214" s="2"/>
      <c r="O214" s="3"/>
      <c r="P214" s="3"/>
      <c r="Q214" s="3"/>
    </row>
    <row r="215" spans="1:17">
      <c r="A215" s="14"/>
      <c r="B215" s="26"/>
      <c r="C215" s="5"/>
      <c r="D215" s="5"/>
      <c r="E215" s="4"/>
      <c r="F215" s="4"/>
      <c r="G215" s="4"/>
      <c r="H215" s="4"/>
      <c r="I215" s="4"/>
      <c r="J215" s="4"/>
      <c r="K215" s="5"/>
      <c r="L215" s="5"/>
      <c r="M215" s="5"/>
      <c r="N215" s="4"/>
      <c r="O215" s="5"/>
      <c r="P215" s="5"/>
      <c r="Q215" s="5"/>
    </row>
    <row r="216" spans="1:17">
      <c r="A216" s="14"/>
      <c r="B216" s="26"/>
      <c r="C216" s="5"/>
      <c r="D216" s="5"/>
      <c r="E216" s="4"/>
      <c r="F216" s="4"/>
      <c r="G216" s="4"/>
      <c r="H216" s="4"/>
      <c r="I216" s="4"/>
      <c r="J216" s="4"/>
      <c r="K216" s="5"/>
      <c r="L216" s="5"/>
      <c r="M216" s="5"/>
      <c r="N216" s="4"/>
      <c r="O216" s="5"/>
      <c r="P216" s="5"/>
      <c r="Q216" s="5"/>
    </row>
    <row r="217" spans="1:17">
      <c r="A217" s="14"/>
      <c r="B217" s="26"/>
      <c r="C217" s="5"/>
      <c r="D217" s="5"/>
      <c r="E217" s="4"/>
      <c r="F217" s="4"/>
      <c r="G217" s="4"/>
      <c r="H217" s="4"/>
      <c r="I217" s="4"/>
      <c r="J217" s="4"/>
      <c r="K217" s="5"/>
      <c r="L217" s="5"/>
      <c r="M217" s="5"/>
      <c r="N217" s="4"/>
      <c r="O217" s="5"/>
      <c r="P217" s="5"/>
      <c r="Q217" s="5"/>
    </row>
    <row r="218" spans="1:17">
      <c r="A218" s="14"/>
      <c r="B218" s="26"/>
      <c r="C218" s="5"/>
      <c r="D218" s="5"/>
      <c r="E218" s="4"/>
      <c r="F218" s="4"/>
      <c r="G218" s="4"/>
      <c r="H218" s="4"/>
      <c r="I218" s="4"/>
      <c r="J218" s="4"/>
      <c r="K218" s="5"/>
      <c r="L218" s="5"/>
      <c r="M218" s="5"/>
      <c r="N218" s="4"/>
      <c r="O218" s="5"/>
      <c r="P218" s="5"/>
      <c r="Q218" s="5"/>
    </row>
    <row r="219" spans="1:17" ht="14.5" thickBot="1">
      <c r="A219" s="14"/>
      <c r="B219" s="26"/>
      <c r="C219" s="5"/>
      <c r="D219" s="5"/>
      <c r="E219" s="4"/>
      <c r="F219" s="4"/>
      <c r="G219" s="4"/>
      <c r="H219" s="4"/>
      <c r="I219" s="4"/>
      <c r="J219" s="4"/>
      <c r="K219" s="5"/>
      <c r="L219" s="5"/>
      <c r="M219" s="5"/>
      <c r="N219" s="4"/>
      <c r="O219" s="5"/>
      <c r="P219" s="5"/>
      <c r="Q219" s="5"/>
    </row>
    <row r="220" spans="1:17">
      <c r="A220" s="12"/>
      <c r="B220" s="25"/>
      <c r="C220" s="3"/>
      <c r="D220" s="3"/>
      <c r="E220" s="2"/>
      <c r="F220" s="2"/>
      <c r="G220" s="2"/>
      <c r="H220" s="2"/>
      <c r="I220" s="2"/>
      <c r="J220" s="2"/>
      <c r="K220" s="3"/>
      <c r="L220" s="3"/>
      <c r="M220" s="3"/>
      <c r="N220" s="2"/>
      <c r="O220" s="3"/>
      <c r="P220" s="3"/>
      <c r="Q220" s="3"/>
    </row>
    <row r="221" spans="1:17">
      <c r="A221" s="14"/>
      <c r="B221" s="26"/>
      <c r="C221" s="5"/>
      <c r="D221" s="5"/>
      <c r="E221" s="4"/>
      <c r="F221" s="4"/>
      <c r="G221" s="4"/>
      <c r="H221" s="4"/>
      <c r="I221" s="4"/>
      <c r="J221" s="4"/>
      <c r="K221" s="5"/>
      <c r="L221" s="5"/>
      <c r="M221" s="5"/>
      <c r="N221" s="4"/>
      <c r="O221" s="5"/>
      <c r="P221" s="5"/>
      <c r="Q221" s="5"/>
    </row>
    <row r="222" spans="1:17">
      <c r="A222" s="14"/>
      <c r="B222" s="26"/>
      <c r="C222" s="5"/>
      <c r="D222" s="5"/>
      <c r="E222" s="4"/>
      <c r="F222" s="4"/>
      <c r="G222" s="4"/>
      <c r="H222" s="4"/>
      <c r="I222" s="4"/>
      <c r="J222" s="4"/>
      <c r="K222" s="5"/>
      <c r="L222" s="5"/>
      <c r="M222" s="5"/>
      <c r="N222" s="4"/>
      <c r="O222" s="5"/>
      <c r="P222" s="5"/>
      <c r="Q222" s="5"/>
    </row>
    <row r="223" spans="1:17">
      <c r="A223" s="14"/>
      <c r="B223" s="26"/>
      <c r="C223" s="5"/>
      <c r="D223" s="5"/>
      <c r="E223" s="4"/>
      <c r="F223" s="4"/>
      <c r="G223" s="4"/>
      <c r="H223" s="4"/>
      <c r="I223" s="4"/>
      <c r="J223" s="4"/>
      <c r="K223" s="5"/>
      <c r="L223" s="5"/>
      <c r="M223" s="5"/>
      <c r="N223" s="4"/>
      <c r="O223" s="5"/>
      <c r="P223" s="5"/>
      <c r="Q223" s="5"/>
    </row>
    <row r="224" spans="1:17">
      <c r="A224" s="14"/>
      <c r="B224" s="26"/>
      <c r="C224" s="5"/>
      <c r="D224" s="5"/>
      <c r="E224" s="4"/>
      <c r="F224" s="4"/>
      <c r="G224" s="4"/>
      <c r="H224" s="4"/>
      <c r="I224" s="4"/>
      <c r="J224" s="4"/>
      <c r="K224" s="5"/>
      <c r="L224" s="5"/>
      <c r="M224" s="5"/>
      <c r="N224" s="4"/>
      <c r="O224" s="5"/>
      <c r="P224" s="5"/>
      <c r="Q224" s="5"/>
    </row>
    <row r="225" spans="1:17">
      <c r="A225" s="14"/>
      <c r="B225" s="26"/>
      <c r="C225" s="5"/>
      <c r="D225" s="5"/>
      <c r="E225" s="4"/>
      <c r="F225" s="4"/>
      <c r="G225" s="4"/>
      <c r="H225" s="4"/>
      <c r="I225" s="4"/>
      <c r="J225" s="4"/>
      <c r="K225" s="5"/>
      <c r="L225" s="5"/>
      <c r="M225" s="5"/>
      <c r="N225" s="4"/>
      <c r="O225" s="5"/>
      <c r="P225" s="5"/>
      <c r="Q225" s="5"/>
    </row>
    <row r="226" spans="1:17">
      <c r="A226" s="14"/>
      <c r="B226" s="26"/>
      <c r="C226" s="5"/>
      <c r="D226" s="5"/>
      <c r="E226" s="4"/>
      <c r="F226" s="4"/>
      <c r="G226" s="4"/>
      <c r="H226" s="4"/>
      <c r="I226" s="4"/>
      <c r="J226" s="4"/>
      <c r="K226" s="5"/>
      <c r="L226" s="5"/>
      <c r="M226" s="5"/>
      <c r="N226" s="4"/>
      <c r="O226" s="5"/>
      <c r="P226" s="5"/>
      <c r="Q226" s="5"/>
    </row>
    <row r="227" spans="1:17">
      <c r="A227" s="14"/>
      <c r="B227" s="26"/>
      <c r="C227" s="5"/>
      <c r="D227" s="5"/>
      <c r="E227" s="4"/>
      <c r="F227" s="4"/>
      <c r="G227" s="4"/>
      <c r="H227" s="4"/>
      <c r="I227" s="4"/>
      <c r="J227" s="4"/>
      <c r="K227" s="5"/>
      <c r="L227" s="5"/>
      <c r="M227" s="5"/>
      <c r="N227" s="4"/>
      <c r="O227" s="5"/>
      <c r="P227" s="5"/>
      <c r="Q227" s="5"/>
    </row>
    <row r="228" spans="1:17">
      <c r="A228" s="14"/>
      <c r="B228" s="26"/>
      <c r="C228" s="5"/>
      <c r="D228" s="5"/>
      <c r="E228" s="4"/>
      <c r="F228" s="4"/>
      <c r="G228" s="4"/>
      <c r="H228" s="4"/>
      <c r="I228" s="4"/>
      <c r="J228" s="4"/>
      <c r="K228" s="5"/>
      <c r="L228" s="5"/>
      <c r="M228" s="5"/>
      <c r="N228" s="4"/>
      <c r="O228" s="5"/>
      <c r="P228" s="5"/>
      <c r="Q228" s="5"/>
    </row>
    <row r="229" spans="1:17" ht="14.5" thickBot="1">
      <c r="A229" s="14"/>
      <c r="B229" s="26"/>
      <c r="C229" s="5"/>
      <c r="D229" s="5"/>
      <c r="E229" s="4"/>
      <c r="F229" s="4"/>
      <c r="G229" s="4"/>
      <c r="H229" s="4"/>
      <c r="I229" s="4"/>
      <c r="J229" s="4"/>
      <c r="K229" s="5"/>
      <c r="L229" s="5"/>
      <c r="M229" s="5"/>
      <c r="N229" s="4"/>
      <c r="O229" s="5"/>
      <c r="P229" s="5"/>
      <c r="Q229" s="5"/>
    </row>
    <row r="230" spans="1:17" ht="14.5" thickBot="1">
      <c r="A230" s="12"/>
      <c r="B230" s="25"/>
      <c r="C230" s="3"/>
      <c r="D230" s="3"/>
      <c r="E230" s="2"/>
      <c r="F230" s="2"/>
      <c r="G230" s="2"/>
      <c r="H230" s="2"/>
      <c r="I230" s="2"/>
      <c r="J230" s="2"/>
      <c r="K230" s="3"/>
      <c r="L230" s="3"/>
      <c r="M230" s="3"/>
      <c r="N230" s="2"/>
      <c r="O230" s="3"/>
      <c r="P230" s="3"/>
      <c r="Q230" s="3"/>
    </row>
    <row r="231" spans="1:17">
      <c r="A231" s="12"/>
      <c r="B231" s="25"/>
      <c r="C231" s="3"/>
      <c r="D231" s="3"/>
      <c r="E231" s="2"/>
      <c r="F231" s="2"/>
      <c r="G231" s="2"/>
      <c r="H231" s="2"/>
      <c r="I231" s="2"/>
      <c r="J231" s="2"/>
      <c r="K231" s="3"/>
      <c r="L231" s="3"/>
      <c r="M231" s="3"/>
      <c r="N231" s="2"/>
      <c r="O231" s="3"/>
      <c r="P231" s="3"/>
      <c r="Q231" s="3"/>
    </row>
    <row r="232" spans="1:17">
      <c r="A232" s="14"/>
      <c r="B232" s="26"/>
      <c r="C232" s="5"/>
      <c r="D232" s="5"/>
      <c r="E232" s="4"/>
      <c r="F232" s="4"/>
      <c r="G232" s="4"/>
      <c r="H232" s="4"/>
      <c r="I232" s="4"/>
      <c r="J232" s="4"/>
      <c r="K232" s="5"/>
      <c r="L232" s="5"/>
      <c r="M232" s="5"/>
      <c r="N232" s="4"/>
      <c r="O232" s="5"/>
      <c r="P232" s="5"/>
      <c r="Q232" s="5"/>
    </row>
    <row r="233" spans="1:17">
      <c r="A233" s="14"/>
      <c r="B233" s="26"/>
      <c r="C233" s="5"/>
      <c r="D233" s="5"/>
      <c r="E233" s="4"/>
      <c r="F233" s="4"/>
      <c r="G233" s="4"/>
      <c r="H233" s="4"/>
      <c r="I233" s="4"/>
      <c r="J233" s="4"/>
      <c r="K233" s="5"/>
      <c r="L233" s="5"/>
      <c r="M233" s="5"/>
      <c r="N233" s="4"/>
      <c r="O233" s="5"/>
      <c r="P233" s="5"/>
      <c r="Q233" s="5"/>
    </row>
    <row r="234" spans="1:17">
      <c r="A234" s="14"/>
      <c r="B234" s="26"/>
      <c r="C234" s="5"/>
      <c r="D234" s="5"/>
      <c r="E234" s="4"/>
      <c r="F234" s="4"/>
      <c r="G234" s="4"/>
      <c r="H234" s="4"/>
      <c r="I234" s="4"/>
      <c r="J234" s="4"/>
      <c r="K234" s="5"/>
      <c r="L234" s="5"/>
      <c r="M234" s="5"/>
      <c r="N234" s="4"/>
      <c r="O234" s="5"/>
      <c r="P234" s="5"/>
      <c r="Q234" s="5"/>
    </row>
    <row r="235" spans="1:17">
      <c r="A235" s="14"/>
      <c r="B235" s="26"/>
      <c r="C235" s="5"/>
      <c r="D235" s="5"/>
      <c r="E235" s="4"/>
      <c r="F235" s="4"/>
      <c r="G235" s="4"/>
      <c r="H235" s="4"/>
      <c r="I235" s="4"/>
      <c r="J235" s="4"/>
      <c r="K235" s="5"/>
      <c r="L235" s="5"/>
      <c r="M235" s="5"/>
      <c r="N235" s="4"/>
      <c r="O235" s="5"/>
      <c r="P235" s="5"/>
      <c r="Q235" s="5"/>
    </row>
    <row r="236" spans="1:17">
      <c r="A236" s="14"/>
      <c r="B236" s="26"/>
      <c r="C236" s="5"/>
      <c r="D236" s="5"/>
      <c r="E236" s="4"/>
      <c r="F236" s="4"/>
      <c r="G236" s="4"/>
      <c r="H236" s="4"/>
      <c r="I236" s="4"/>
      <c r="J236" s="4"/>
      <c r="K236" s="5"/>
      <c r="L236" s="5"/>
      <c r="M236" s="5"/>
      <c r="N236" s="4"/>
      <c r="O236" s="5"/>
      <c r="P236" s="5"/>
      <c r="Q236" s="5"/>
    </row>
    <row r="237" spans="1:17">
      <c r="A237" s="14"/>
      <c r="B237" s="26"/>
      <c r="C237" s="5"/>
      <c r="D237" s="5"/>
      <c r="E237" s="4"/>
      <c r="F237" s="4"/>
      <c r="G237" s="4"/>
      <c r="H237" s="4"/>
      <c r="I237" s="4"/>
      <c r="J237" s="4"/>
      <c r="K237" s="5"/>
      <c r="L237" s="5"/>
      <c r="M237" s="5"/>
      <c r="N237" s="4"/>
      <c r="O237" s="5"/>
      <c r="P237" s="5"/>
      <c r="Q237" s="5"/>
    </row>
    <row r="238" spans="1:17">
      <c r="A238" s="14"/>
      <c r="B238" s="26"/>
      <c r="C238" s="5"/>
      <c r="D238" s="5"/>
      <c r="E238" s="4"/>
      <c r="F238" s="4"/>
      <c r="G238" s="4"/>
      <c r="H238" s="4"/>
      <c r="I238" s="4"/>
      <c r="J238" s="4"/>
      <c r="K238" s="5"/>
      <c r="L238" s="5"/>
      <c r="M238" s="5"/>
      <c r="N238" s="4"/>
      <c r="O238" s="5"/>
      <c r="P238" s="5"/>
      <c r="Q238" s="5"/>
    </row>
    <row r="239" spans="1:17" ht="14.5" thickBot="1">
      <c r="A239" s="14"/>
      <c r="B239" s="26"/>
      <c r="C239" s="5"/>
      <c r="D239" s="5"/>
      <c r="E239" s="4"/>
      <c r="F239" s="4"/>
      <c r="G239" s="4"/>
      <c r="H239" s="4"/>
      <c r="I239" s="4"/>
      <c r="J239" s="4"/>
      <c r="K239" s="5"/>
      <c r="L239" s="5"/>
      <c r="M239" s="5"/>
      <c r="N239" s="4"/>
      <c r="O239" s="5"/>
      <c r="P239" s="5"/>
      <c r="Q239" s="5"/>
    </row>
    <row r="240" spans="1:17">
      <c r="A240" s="12"/>
      <c r="B240" s="25"/>
      <c r="C240" s="3"/>
      <c r="D240" s="3"/>
      <c r="E240" s="2"/>
      <c r="F240" s="2"/>
      <c r="G240" s="2"/>
      <c r="H240" s="2"/>
      <c r="I240" s="2"/>
      <c r="J240" s="2"/>
      <c r="K240" s="3"/>
      <c r="L240" s="3"/>
      <c r="M240" s="3"/>
      <c r="N240" s="2"/>
      <c r="O240" s="3"/>
      <c r="P240" s="3"/>
      <c r="Q240" s="3"/>
    </row>
    <row r="241" spans="1:17">
      <c r="A241" s="14"/>
      <c r="B241" s="26"/>
      <c r="C241" s="5"/>
      <c r="D241" s="5"/>
      <c r="E241" s="4"/>
      <c r="F241" s="4"/>
      <c r="G241" s="4"/>
      <c r="H241" s="4"/>
      <c r="I241" s="4"/>
      <c r="J241" s="4"/>
      <c r="K241" s="5"/>
      <c r="L241" s="5"/>
      <c r="M241" s="5"/>
      <c r="N241" s="4"/>
      <c r="O241" s="5"/>
      <c r="P241" s="5"/>
      <c r="Q241" s="5"/>
    </row>
    <row r="242" spans="1:17">
      <c r="A242" s="14"/>
      <c r="B242" s="26"/>
      <c r="C242" s="5"/>
      <c r="D242" s="5"/>
      <c r="E242" s="4"/>
      <c r="F242" s="4"/>
      <c r="G242" s="4"/>
      <c r="H242" s="4"/>
      <c r="I242" s="4"/>
      <c r="J242" s="4"/>
      <c r="K242" s="5"/>
      <c r="L242" s="5"/>
      <c r="M242" s="5"/>
      <c r="N242" s="4"/>
      <c r="O242" s="5"/>
      <c r="P242" s="5"/>
      <c r="Q242" s="5"/>
    </row>
    <row r="243" spans="1:17" ht="14.5" thickBot="1">
      <c r="A243" s="14"/>
      <c r="B243" s="26"/>
      <c r="C243" s="5"/>
      <c r="D243" s="5"/>
      <c r="E243" s="4"/>
      <c r="F243" s="4"/>
      <c r="G243" s="4"/>
      <c r="H243" s="4"/>
      <c r="I243" s="4"/>
      <c r="J243" s="4"/>
      <c r="K243" s="5"/>
      <c r="L243" s="5"/>
      <c r="M243" s="5"/>
      <c r="N243" s="4"/>
      <c r="O243" s="5"/>
      <c r="P243" s="5"/>
      <c r="Q243" s="5"/>
    </row>
    <row r="244" spans="1:17">
      <c r="A244" s="12"/>
      <c r="B244" s="27"/>
      <c r="C244" s="3"/>
      <c r="D244" s="3"/>
      <c r="E244" s="2"/>
      <c r="F244" s="2"/>
      <c r="G244" s="2"/>
      <c r="H244" s="2"/>
      <c r="I244" s="2"/>
      <c r="J244" s="2"/>
      <c r="K244" s="3"/>
      <c r="L244" s="3"/>
      <c r="M244" s="3"/>
      <c r="N244" s="2"/>
      <c r="O244" s="3"/>
      <c r="P244" s="3"/>
      <c r="Q244" s="3"/>
    </row>
    <row r="245" spans="1:17">
      <c r="A245" s="14"/>
      <c r="B245" s="28"/>
      <c r="C245" s="5"/>
      <c r="D245" s="5"/>
      <c r="E245" s="4"/>
      <c r="F245" s="4"/>
      <c r="G245" s="4"/>
      <c r="H245" s="4"/>
      <c r="I245" s="4"/>
      <c r="J245" s="4"/>
      <c r="K245" s="5"/>
      <c r="L245" s="5"/>
      <c r="M245" s="5"/>
      <c r="N245" s="4"/>
      <c r="O245" s="5"/>
      <c r="P245" s="5"/>
      <c r="Q245" s="5"/>
    </row>
    <row r="246" spans="1:17">
      <c r="A246" s="14"/>
      <c r="B246" s="28"/>
      <c r="C246" s="5"/>
      <c r="D246" s="5"/>
      <c r="E246" s="4"/>
      <c r="F246" s="4"/>
      <c r="G246" s="4"/>
      <c r="H246" s="4"/>
      <c r="I246" s="4"/>
      <c r="J246" s="4"/>
      <c r="K246" s="5"/>
      <c r="L246" s="5"/>
      <c r="M246" s="5"/>
      <c r="N246" s="4"/>
      <c r="O246" s="5"/>
      <c r="P246" s="5"/>
      <c r="Q246" s="5"/>
    </row>
    <row r="247" spans="1:17">
      <c r="A247" s="14"/>
      <c r="B247" s="28"/>
      <c r="C247" s="5"/>
      <c r="D247" s="5"/>
      <c r="E247" s="4"/>
      <c r="F247" s="4"/>
      <c r="G247" s="4"/>
      <c r="H247" s="4"/>
      <c r="I247" s="4"/>
      <c r="J247" s="4"/>
      <c r="K247" s="5"/>
      <c r="L247" s="5"/>
      <c r="M247" s="5"/>
      <c r="N247" s="4"/>
      <c r="O247" s="5"/>
      <c r="P247" s="5"/>
      <c r="Q247" s="5"/>
    </row>
    <row r="248" spans="1:17">
      <c r="A248" s="14"/>
      <c r="B248" s="28"/>
      <c r="C248" s="5"/>
      <c r="D248" s="5"/>
      <c r="E248" s="4"/>
      <c r="F248" s="4"/>
      <c r="G248" s="4"/>
      <c r="H248" s="4"/>
      <c r="I248" s="4"/>
      <c r="J248" s="4"/>
      <c r="K248" s="5"/>
      <c r="L248" s="5"/>
      <c r="M248" s="5"/>
      <c r="N248" s="4"/>
      <c r="O248" s="5"/>
      <c r="P248" s="5"/>
      <c r="Q248" s="5"/>
    </row>
    <row r="249" spans="1:17" ht="14.5" thickBot="1">
      <c r="A249" s="14"/>
      <c r="B249" s="28"/>
      <c r="C249" s="5"/>
      <c r="D249" s="5"/>
      <c r="E249" s="4"/>
      <c r="F249" s="4"/>
      <c r="G249" s="4"/>
      <c r="H249" s="4"/>
      <c r="I249" s="4"/>
      <c r="J249" s="4"/>
      <c r="K249" s="5"/>
      <c r="L249" s="5"/>
      <c r="M249" s="5"/>
      <c r="N249" s="4"/>
      <c r="O249" s="5"/>
      <c r="P249" s="5"/>
      <c r="Q249" s="5"/>
    </row>
    <row r="250" spans="1:17">
      <c r="A250" s="12"/>
      <c r="B250" s="27"/>
      <c r="C250" s="3"/>
      <c r="D250" s="3"/>
      <c r="E250" s="2"/>
      <c r="F250" s="2"/>
      <c r="G250" s="2"/>
      <c r="H250" s="2"/>
      <c r="I250" s="2"/>
      <c r="J250" s="2"/>
      <c r="K250" s="3"/>
      <c r="L250" s="3"/>
      <c r="M250" s="3"/>
      <c r="N250" s="2"/>
      <c r="O250" s="3"/>
      <c r="P250" s="3"/>
      <c r="Q250" s="3"/>
    </row>
    <row r="251" spans="1:17">
      <c r="A251" s="14"/>
      <c r="B251" s="28"/>
      <c r="C251" s="5"/>
      <c r="D251" s="5"/>
      <c r="E251" s="4"/>
      <c r="F251" s="4"/>
      <c r="G251" s="4"/>
      <c r="H251" s="4"/>
      <c r="I251" s="4"/>
      <c r="J251" s="4"/>
      <c r="K251" s="5"/>
      <c r="L251" s="5"/>
      <c r="M251" s="5"/>
      <c r="N251" s="4"/>
      <c r="O251" s="5"/>
      <c r="P251" s="5"/>
      <c r="Q251" s="5"/>
    </row>
    <row r="252" spans="1:17">
      <c r="A252" s="14"/>
      <c r="B252" s="28"/>
      <c r="C252" s="5"/>
      <c r="D252" s="5"/>
      <c r="E252" s="4"/>
      <c r="F252" s="4"/>
      <c r="G252" s="4"/>
      <c r="H252" s="4"/>
      <c r="I252" s="4"/>
      <c r="J252" s="4"/>
      <c r="K252" s="5"/>
      <c r="L252" s="5"/>
      <c r="M252" s="5"/>
      <c r="N252" s="4"/>
      <c r="O252" s="5"/>
      <c r="P252" s="5"/>
      <c r="Q252" s="5"/>
    </row>
    <row r="253" spans="1:17">
      <c r="A253" s="14"/>
      <c r="B253" s="28"/>
      <c r="C253" s="5"/>
      <c r="D253" s="5"/>
      <c r="E253" s="4"/>
      <c r="F253" s="4"/>
      <c r="G253" s="4"/>
      <c r="H253" s="4"/>
      <c r="I253" s="4"/>
      <c r="J253" s="4"/>
      <c r="K253" s="5"/>
      <c r="L253" s="5"/>
      <c r="M253" s="5"/>
      <c r="N253" s="4"/>
      <c r="O253" s="5"/>
      <c r="P253" s="5"/>
      <c r="Q253" s="5"/>
    </row>
    <row r="254" spans="1:17">
      <c r="A254" s="14"/>
      <c r="B254" s="28"/>
      <c r="C254" s="5"/>
      <c r="D254" s="5"/>
      <c r="E254" s="4"/>
      <c r="F254" s="4"/>
      <c r="G254" s="4"/>
      <c r="H254" s="4"/>
      <c r="I254" s="4"/>
      <c r="J254" s="4"/>
      <c r="K254" s="5"/>
      <c r="L254" s="5"/>
      <c r="M254" s="5"/>
      <c r="N254" s="4"/>
      <c r="O254" s="5"/>
      <c r="P254" s="5"/>
      <c r="Q254" s="5"/>
    </row>
    <row r="255" spans="1:17">
      <c r="A255" s="14"/>
      <c r="B255" s="28"/>
      <c r="C255" s="5"/>
      <c r="D255" s="5"/>
      <c r="E255" s="4"/>
      <c r="F255" s="4"/>
      <c r="G255" s="4"/>
      <c r="H255" s="4"/>
      <c r="I255" s="4"/>
      <c r="J255" s="4"/>
      <c r="K255" s="5"/>
      <c r="L255" s="5"/>
      <c r="M255" s="5"/>
      <c r="N255" s="4"/>
      <c r="O255" s="5"/>
      <c r="P255" s="5"/>
      <c r="Q255" s="5"/>
    </row>
    <row r="256" spans="1:17">
      <c r="A256" s="14"/>
      <c r="B256" s="28"/>
      <c r="C256" s="5"/>
      <c r="D256" s="5"/>
      <c r="E256" s="4"/>
      <c r="F256" s="4"/>
      <c r="G256" s="4"/>
      <c r="H256" s="4"/>
      <c r="I256" s="4"/>
      <c r="J256" s="4"/>
      <c r="K256" s="5"/>
      <c r="L256" s="5"/>
      <c r="M256" s="5"/>
      <c r="N256" s="4"/>
      <c r="O256" s="5"/>
      <c r="P256" s="5"/>
      <c r="Q256" s="5"/>
    </row>
    <row r="257" spans="1:17" ht="14.5" thickBot="1">
      <c r="A257" s="14"/>
      <c r="B257" s="28"/>
      <c r="C257" s="5"/>
      <c r="D257" s="5"/>
      <c r="E257" s="4"/>
      <c r="F257" s="4"/>
      <c r="G257" s="4"/>
      <c r="H257" s="4"/>
      <c r="I257" s="4"/>
      <c r="J257" s="4"/>
      <c r="K257" s="5"/>
      <c r="L257" s="5"/>
      <c r="M257" s="5"/>
      <c r="N257" s="4"/>
      <c r="O257" s="5"/>
      <c r="P257" s="5"/>
      <c r="Q257" s="5"/>
    </row>
    <row r="258" spans="1:17">
      <c r="A258" s="12"/>
      <c r="B258" s="27"/>
      <c r="C258" s="3"/>
      <c r="D258" s="3"/>
      <c r="E258" s="2"/>
      <c r="F258" s="2"/>
      <c r="G258" s="2"/>
      <c r="H258" s="2"/>
      <c r="I258" s="2"/>
      <c r="J258" s="2"/>
      <c r="K258" s="3"/>
      <c r="L258" s="3"/>
      <c r="M258" s="3"/>
      <c r="N258" s="2"/>
      <c r="O258" s="3"/>
      <c r="P258" s="3"/>
      <c r="Q258" s="3"/>
    </row>
    <row r="259" spans="1:17" ht="14.5" thickBot="1">
      <c r="A259" s="14"/>
      <c r="B259" s="28"/>
      <c r="C259" s="5"/>
      <c r="D259" s="5"/>
      <c r="E259" s="4"/>
      <c r="F259" s="4"/>
      <c r="G259" s="4"/>
      <c r="H259" s="4"/>
      <c r="I259" s="4"/>
      <c r="J259" s="4"/>
      <c r="K259" s="5"/>
      <c r="L259" s="5"/>
      <c r="M259" s="5"/>
      <c r="N259" s="4"/>
      <c r="O259" s="5"/>
      <c r="P259" s="5"/>
      <c r="Q259" s="5"/>
    </row>
    <row r="260" spans="1:17">
      <c r="A260" s="12"/>
      <c r="B260" s="27"/>
      <c r="C260" s="3"/>
      <c r="D260" s="3"/>
      <c r="E260" s="2"/>
      <c r="F260" s="2"/>
      <c r="G260" s="2"/>
      <c r="H260" s="2"/>
      <c r="I260" s="2"/>
      <c r="J260" s="2"/>
      <c r="K260" s="3"/>
      <c r="L260" s="3"/>
      <c r="M260" s="3"/>
      <c r="N260" s="2"/>
      <c r="O260" s="3"/>
      <c r="P260" s="3"/>
      <c r="Q260" s="3"/>
    </row>
    <row r="261" spans="1:17">
      <c r="A261" s="14"/>
      <c r="B261" s="28"/>
      <c r="C261" s="5"/>
      <c r="D261" s="5"/>
      <c r="E261" s="4"/>
      <c r="F261" s="4"/>
      <c r="G261" s="4"/>
      <c r="H261" s="4"/>
      <c r="I261" s="4"/>
      <c r="J261" s="4"/>
      <c r="K261" s="5"/>
      <c r="L261" s="5"/>
      <c r="M261" s="5"/>
      <c r="N261" s="4"/>
      <c r="O261" s="5"/>
      <c r="P261" s="5"/>
      <c r="Q261" s="5"/>
    </row>
    <row r="262" spans="1:17">
      <c r="A262" s="14"/>
      <c r="B262" s="28"/>
      <c r="C262" s="5"/>
      <c r="D262" s="5"/>
      <c r="E262" s="4"/>
      <c r="F262" s="4"/>
      <c r="G262" s="4"/>
      <c r="H262" s="4"/>
      <c r="I262" s="4"/>
      <c r="J262" s="4"/>
      <c r="K262" s="5"/>
      <c r="L262" s="5"/>
      <c r="M262" s="5"/>
      <c r="N262" s="4"/>
      <c r="O262" s="5"/>
      <c r="P262" s="5"/>
      <c r="Q262" s="5"/>
    </row>
    <row r="263" spans="1:17">
      <c r="A263" s="14"/>
      <c r="B263" s="28"/>
      <c r="C263" s="5"/>
      <c r="D263" s="5"/>
      <c r="E263" s="4"/>
      <c r="F263" s="4"/>
      <c r="G263" s="4"/>
      <c r="H263" s="4"/>
      <c r="I263" s="4"/>
      <c r="J263" s="4"/>
      <c r="K263" s="5"/>
      <c r="L263" s="5"/>
      <c r="M263" s="5"/>
      <c r="N263" s="4"/>
      <c r="O263" s="5"/>
      <c r="P263" s="5"/>
      <c r="Q263" s="5"/>
    </row>
    <row r="264" spans="1:17">
      <c r="A264" s="14"/>
      <c r="B264" s="28"/>
      <c r="C264" s="5"/>
      <c r="D264" s="5"/>
      <c r="E264" s="4"/>
      <c r="F264" s="4"/>
      <c r="G264" s="4"/>
      <c r="H264" s="4"/>
      <c r="I264" s="4"/>
      <c r="J264" s="4"/>
      <c r="K264" s="5"/>
      <c r="L264" s="5"/>
      <c r="M264" s="5"/>
      <c r="N264" s="4"/>
      <c r="O264" s="5"/>
      <c r="P264" s="5"/>
      <c r="Q264" s="5"/>
    </row>
    <row r="265" spans="1:17">
      <c r="A265" s="14"/>
      <c r="B265" s="28"/>
      <c r="C265" s="5"/>
      <c r="D265" s="5"/>
      <c r="E265" s="4"/>
      <c r="F265" s="4"/>
      <c r="G265" s="4"/>
      <c r="H265" s="4"/>
      <c r="I265" s="4"/>
      <c r="J265" s="4"/>
      <c r="K265" s="5"/>
      <c r="L265" s="5"/>
      <c r="M265" s="5"/>
      <c r="N265" s="4"/>
      <c r="O265" s="5"/>
      <c r="P265" s="5"/>
      <c r="Q265" s="5"/>
    </row>
    <row r="266" spans="1:17">
      <c r="A266" s="14"/>
      <c r="B266" s="28"/>
      <c r="C266" s="5"/>
      <c r="D266" s="5"/>
      <c r="E266" s="4"/>
      <c r="F266" s="4"/>
      <c r="G266" s="4"/>
      <c r="H266" s="4"/>
      <c r="I266" s="4"/>
      <c r="J266" s="4"/>
      <c r="K266" s="5"/>
      <c r="L266" s="5"/>
      <c r="M266" s="5"/>
      <c r="N266" s="4"/>
      <c r="O266" s="5"/>
      <c r="P266" s="5"/>
      <c r="Q266" s="5"/>
    </row>
    <row r="267" spans="1:17">
      <c r="A267" s="14"/>
      <c r="B267" s="28"/>
      <c r="C267" s="5"/>
      <c r="D267" s="5"/>
      <c r="E267" s="4"/>
      <c r="F267" s="4"/>
      <c r="G267" s="4"/>
      <c r="H267" s="4"/>
      <c r="I267" s="4"/>
      <c r="J267" s="4"/>
      <c r="K267" s="5"/>
      <c r="L267" s="5"/>
      <c r="M267" s="5"/>
      <c r="N267" s="4"/>
      <c r="O267" s="5"/>
      <c r="P267" s="5"/>
      <c r="Q267" s="5"/>
    </row>
    <row r="268" spans="1:17">
      <c r="A268" s="14"/>
      <c r="B268" s="28"/>
      <c r="C268" s="5"/>
      <c r="D268" s="5"/>
      <c r="E268" s="4"/>
      <c r="F268" s="4"/>
      <c r="G268" s="4"/>
      <c r="H268" s="4"/>
      <c r="I268" s="4"/>
      <c r="J268" s="4"/>
      <c r="K268" s="5"/>
      <c r="L268" s="5"/>
      <c r="M268" s="5"/>
      <c r="N268" s="4"/>
      <c r="O268" s="5"/>
      <c r="P268" s="5"/>
      <c r="Q268" s="5"/>
    </row>
    <row r="269" spans="1:17" ht="14.5" thickBot="1">
      <c r="A269" s="14"/>
      <c r="B269" s="28"/>
      <c r="C269" s="5"/>
      <c r="D269" s="5"/>
      <c r="E269" s="4"/>
      <c r="F269" s="4"/>
      <c r="G269" s="4"/>
      <c r="H269" s="4"/>
      <c r="I269" s="4"/>
      <c r="J269" s="4"/>
      <c r="K269" s="5"/>
      <c r="L269" s="5"/>
      <c r="M269" s="5"/>
      <c r="N269" s="4"/>
      <c r="O269" s="5"/>
      <c r="P269" s="5"/>
      <c r="Q269" s="5"/>
    </row>
    <row r="270" spans="1:17" ht="14.5" thickBot="1">
      <c r="A270" s="12"/>
      <c r="B270" s="27"/>
      <c r="C270" s="3"/>
      <c r="D270" s="3"/>
      <c r="E270" s="2"/>
      <c r="F270" s="2"/>
      <c r="G270" s="2"/>
      <c r="H270" s="2"/>
      <c r="I270" s="2"/>
      <c r="J270" s="2"/>
      <c r="K270" s="3"/>
      <c r="L270" s="3"/>
      <c r="M270" s="3"/>
      <c r="N270" s="2"/>
      <c r="O270" s="3"/>
      <c r="P270" s="3"/>
      <c r="Q270" s="3"/>
    </row>
    <row r="271" spans="1:17">
      <c r="A271" s="12"/>
      <c r="B271" s="27"/>
      <c r="C271" s="3"/>
      <c r="D271" s="3"/>
      <c r="E271" s="2"/>
      <c r="F271" s="2"/>
      <c r="G271" s="2"/>
      <c r="H271" s="2"/>
      <c r="I271" s="2"/>
      <c r="J271" s="2"/>
      <c r="K271" s="3"/>
      <c r="L271" s="3"/>
      <c r="M271" s="3"/>
      <c r="N271" s="2"/>
      <c r="O271" s="3"/>
      <c r="P271" s="3"/>
      <c r="Q271" s="3"/>
    </row>
    <row r="272" spans="1:17">
      <c r="A272" s="14"/>
      <c r="B272" s="28"/>
      <c r="C272" s="5"/>
      <c r="D272" s="5"/>
      <c r="E272" s="4"/>
      <c r="F272" s="4"/>
      <c r="G272" s="4"/>
      <c r="H272" s="4"/>
      <c r="I272" s="4"/>
      <c r="J272" s="4"/>
      <c r="K272" s="5"/>
      <c r="L272" s="5"/>
      <c r="M272" s="5"/>
      <c r="N272" s="4"/>
      <c r="O272" s="5"/>
      <c r="P272" s="5"/>
      <c r="Q272" s="5"/>
    </row>
    <row r="273" spans="1:17">
      <c r="A273" s="14"/>
      <c r="B273" s="28"/>
      <c r="C273" s="5"/>
      <c r="D273" s="5"/>
      <c r="E273" s="4"/>
      <c r="F273" s="4"/>
      <c r="G273" s="4"/>
      <c r="H273" s="4"/>
      <c r="I273" s="4"/>
      <c r="J273" s="4"/>
      <c r="K273" s="5"/>
      <c r="L273" s="5"/>
      <c r="M273" s="5"/>
      <c r="N273" s="4"/>
      <c r="O273" s="5"/>
      <c r="P273" s="5"/>
      <c r="Q273" s="5"/>
    </row>
    <row r="274" spans="1:17">
      <c r="A274" s="14"/>
      <c r="B274" s="28"/>
      <c r="C274" s="5"/>
      <c r="D274" s="5"/>
      <c r="E274" s="4"/>
      <c r="F274" s="4"/>
      <c r="G274" s="4"/>
      <c r="H274" s="4"/>
      <c r="I274" s="4"/>
      <c r="J274" s="4"/>
      <c r="K274" s="5"/>
      <c r="L274" s="5"/>
      <c r="M274" s="5"/>
      <c r="N274" s="4"/>
      <c r="O274" s="5"/>
      <c r="P274" s="5"/>
      <c r="Q274" s="5"/>
    </row>
    <row r="275" spans="1:17">
      <c r="A275" s="14"/>
      <c r="B275" s="28"/>
      <c r="C275" s="5"/>
      <c r="D275" s="5"/>
      <c r="E275" s="4"/>
      <c r="F275" s="4"/>
      <c r="G275" s="4"/>
      <c r="H275" s="4"/>
      <c r="I275" s="4"/>
      <c r="J275" s="4"/>
      <c r="K275" s="5"/>
      <c r="L275" s="5"/>
      <c r="M275" s="5"/>
      <c r="N275" s="4"/>
      <c r="O275" s="5"/>
      <c r="P275" s="5"/>
      <c r="Q275" s="5"/>
    </row>
    <row r="276" spans="1:17">
      <c r="A276" s="14"/>
      <c r="B276" s="28"/>
      <c r="C276" s="5"/>
      <c r="D276" s="5"/>
      <c r="E276" s="4"/>
      <c r="F276" s="4"/>
      <c r="G276" s="4"/>
      <c r="H276" s="4"/>
      <c r="I276" s="4"/>
      <c r="J276" s="4"/>
      <c r="K276" s="5"/>
      <c r="L276" s="5"/>
      <c r="M276" s="5"/>
      <c r="N276" s="4"/>
      <c r="O276" s="5"/>
      <c r="P276" s="5"/>
      <c r="Q276" s="5"/>
    </row>
    <row r="277" spans="1:17">
      <c r="A277" s="14"/>
      <c r="B277" s="28"/>
      <c r="C277" s="5"/>
      <c r="D277" s="5"/>
      <c r="E277" s="4"/>
      <c r="F277" s="4"/>
      <c r="G277" s="4"/>
      <c r="H277" s="4"/>
      <c r="I277" s="4"/>
      <c r="J277" s="4"/>
      <c r="K277" s="5"/>
      <c r="L277" s="5"/>
      <c r="M277" s="5"/>
      <c r="N277" s="4"/>
      <c r="O277" s="5"/>
      <c r="P277" s="5"/>
      <c r="Q277" s="5"/>
    </row>
    <row r="278" spans="1:17">
      <c r="A278" s="14"/>
      <c r="B278" s="28"/>
      <c r="C278" s="5"/>
      <c r="D278" s="5"/>
      <c r="E278" s="4"/>
      <c r="F278" s="4"/>
      <c r="G278" s="4"/>
      <c r="H278" s="4"/>
      <c r="I278" s="4"/>
      <c r="J278" s="4"/>
      <c r="K278" s="5"/>
      <c r="L278" s="5"/>
      <c r="M278" s="5"/>
      <c r="N278" s="4"/>
      <c r="O278" s="5"/>
      <c r="P278" s="5"/>
      <c r="Q278" s="5"/>
    </row>
    <row r="279" spans="1:17" ht="14.5" thickBot="1">
      <c r="A279" s="14"/>
      <c r="B279" s="28"/>
      <c r="C279" s="5"/>
      <c r="D279" s="5"/>
      <c r="E279" s="4"/>
      <c r="F279" s="4"/>
      <c r="G279" s="4"/>
      <c r="H279" s="4"/>
      <c r="I279" s="4"/>
      <c r="J279" s="4"/>
      <c r="K279" s="5"/>
      <c r="L279" s="5"/>
      <c r="M279" s="5"/>
      <c r="N279" s="4"/>
      <c r="O279" s="5"/>
      <c r="P279" s="5"/>
      <c r="Q279" s="5"/>
    </row>
    <row r="280" spans="1:17">
      <c r="A280" s="12"/>
      <c r="B280" s="27"/>
      <c r="C280" s="3"/>
      <c r="D280" s="3"/>
      <c r="E280" s="2"/>
      <c r="F280" s="2"/>
      <c r="G280" s="2"/>
      <c r="H280" s="2"/>
      <c r="I280" s="2"/>
      <c r="J280" s="2"/>
      <c r="K280" s="3"/>
      <c r="L280" s="3"/>
      <c r="M280" s="3"/>
      <c r="N280" s="2"/>
      <c r="O280" s="3"/>
      <c r="P280" s="3"/>
      <c r="Q280" s="3"/>
    </row>
    <row r="281" spans="1:17">
      <c r="A281" s="14"/>
      <c r="B281" s="28"/>
      <c r="C281" s="5"/>
      <c r="D281" s="5"/>
      <c r="E281" s="4"/>
      <c r="F281" s="4"/>
      <c r="G281" s="4"/>
      <c r="H281" s="4"/>
      <c r="I281" s="4"/>
      <c r="J281" s="4"/>
      <c r="K281" s="5"/>
      <c r="L281" s="5"/>
      <c r="M281" s="5"/>
      <c r="N281" s="4"/>
      <c r="O281" s="5"/>
      <c r="P281" s="5"/>
      <c r="Q281" s="5"/>
    </row>
    <row r="282" spans="1:17" ht="14.5" thickBot="1">
      <c r="A282" s="14"/>
      <c r="B282" s="28"/>
      <c r="C282" s="5"/>
      <c r="D282" s="5"/>
      <c r="E282" s="4"/>
      <c r="F282" s="4"/>
      <c r="G282" s="4"/>
      <c r="H282" s="4"/>
      <c r="I282" s="4"/>
      <c r="J282" s="4"/>
      <c r="K282" s="5"/>
      <c r="L282" s="5"/>
      <c r="M282" s="5"/>
      <c r="N282" s="4"/>
      <c r="O282" s="5"/>
      <c r="P282" s="5"/>
      <c r="Q282" s="5"/>
    </row>
    <row r="283" spans="1:17">
      <c r="A283" s="12"/>
      <c r="B283" s="27"/>
      <c r="C283" s="3"/>
      <c r="D283" s="3"/>
      <c r="E283" s="2"/>
      <c r="F283" s="2"/>
      <c r="G283" s="2"/>
      <c r="H283" s="2"/>
      <c r="I283" s="2"/>
      <c r="J283" s="2"/>
      <c r="K283" s="3"/>
      <c r="L283" s="3"/>
      <c r="M283" s="3"/>
      <c r="N283" s="2"/>
      <c r="O283" s="3"/>
      <c r="P283" s="3"/>
      <c r="Q283" s="3"/>
    </row>
    <row r="284" spans="1:17">
      <c r="A284" s="14"/>
      <c r="B284" s="28"/>
      <c r="C284" s="5"/>
      <c r="D284" s="5"/>
      <c r="E284" s="4"/>
      <c r="F284" s="4"/>
      <c r="G284" s="4"/>
      <c r="H284" s="4"/>
      <c r="I284" s="4"/>
      <c r="J284" s="4"/>
      <c r="K284" s="5"/>
      <c r="L284" s="5"/>
      <c r="M284" s="5"/>
      <c r="N284" s="4"/>
      <c r="O284" s="5"/>
      <c r="P284" s="5"/>
      <c r="Q284" s="5"/>
    </row>
    <row r="285" spans="1:17">
      <c r="A285" s="14"/>
      <c r="B285" s="28"/>
      <c r="C285" s="5"/>
      <c r="D285" s="5"/>
      <c r="E285" s="4"/>
      <c r="F285" s="4"/>
      <c r="G285" s="4"/>
      <c r="H285" s="4"/>
      <c r="I285" s="4"/>
      <c r="J285" s="4"/>
      <c r="K285" s="5"/>
      <c r="L285" s="5"/>
      <c r="M285" s="5"/>
      <c r="N285" s="4"/>
      <c r="O285" s="5"/>
      <c r="P285" s="5"/>
      <c r="Q285" s="5"/>
    </row>
    <row r="286" spans="1:17">
      <c r="A286" s="14"/>
      <c r="B286" s="28"/>
      <c r="C286" s="5"/>
      <c r="D286" s="5"/>
      <c r="E286" s="4"/>
      <c r="F286" s="4"/>
      <c r="G286" s="4"/>
      <c r="H286" s="4"/>
      <c r="I286" s="4"/>
      <c r="J286" s="4"/>
      <c r="K286" s="5"/>
      <c r="L286" s="5"/>
      <c r="M286" s="5"/>
      <c r="N286" s="4"/>
      <c r="O286" s="5"/>
      <c r="P286" s="5"/>
      <c r="Q286" s="5"/>
    </row>
    <row r="287" spans="1:17">
      <c r="A287" s="14"/>
      <c r="B287" s="28"/>
      <c r="C287" s="5"/>
      <c r="D287" s="5"/>
      <c r="E287" s="4"/>
      <c r="F287" s="4"/>
      <c r="G287" s="4"/>
      <c r="H287" s="4"/>
      <c r="I287" s="4"/>
      <c r="J287" s="4"/>
      <c r="K287" s="5"/>
      <c r="L287" s="5"/>
      <c r="M287" s="5"/>
      <c r="N287" s="4"/>
      <c r="O287" s="5"/>
      <c r="P287" s="5"/>
      <c r="Q287" s="5"/>
    </row>
    <row r="288" spans="1:17">
      <c r="A288" s="14"/>
      <c r="B288" s="28"/>
      <c r="C288" s="5"/>
      <c r="D288" s="5"/>
      <c r="E288" s="4"/>
      <c r="F288" s="4"/>
      <c r="G288" s="4"/>
      <c r="H288" s="4"/>
      <c r="I288" s="4"/>
      <c r="J288" s="4"/>
      <c r="K288" s="5"/>
      <c r="L288" s="5"/>
      <c r="M288" s="5"/>
      <c r="N288" s="4"/>
      <c r="O288" s="5"/>
      <c r="P288" s="5"/>
      <c r="Q288" s="5"/>
    </row>
    <row r="289" spans="1:17" ht="14.5" thickBot="1">
      <c r="A289" s="14"/>
      <c r="B289" s="28"/>
      <c r="C289" s="5"/>
      <c r="D289" s="5"/>
      <c r="E289" s="4"/>
      <c r="F289" s="4"/>
      <c r="G289" s="4"/>
      <c r="H289" s="4"/>
      <c r="I289" s="4"/>
      <c r="J289" s="4"/>
      <c r="K289" s="5"/>
      <c r="L289" s="5"/>
      <c r="M289" s="5"/>
      <c r="N289" s="4"/>
      <c r="O289" s="5"/>
      <c r="P289" s="5"/>
      <c r="Q289" s="5"/>
    </row>
    <row r="290" spans="1:17">
      <c r="A290" s="12"/>
      <c r="B290" s="27"/>
      <c r="C290" s="3"/>
      <c r="D290" s="3"/>
      <c r="E290" s="2"/>
      <c r="F290" s="2"/>
      <c r="G290" s="2"/>
      <c r="H290" s="2"/>
      <c r="I290" s="2"/>
      <c r="J290" s="2"/>
      <c r="K290" s="3"/>
      <c r="L290" s="3"/>
      <c r="M290" s="3"/>
      <c r="N290" s="2"/>
      <c r="O290" s="3"/>
      <c r="P290" s="3"/>
      <c r="Q290" s="3"/>
    </row>
    <row r="291" spans="1:17">
      <c r="A291" s="14"/>
      <c r="B291" s="28"/>
      <c r="C291" s="5"/>
      <c r="D291" s="5"/>
      <c r="E291" s="4"/>
      <c r="F291" s="4"/>
      <c r="G291" s="4"/>
      <c r="H291" s="4"/>
      <c r="I291" s="4"/>
      <c r="J291" s="4"/>
      <c r="K291" s="5"/>
      <c r="L291" s="5"/>
      <c r="M291" s="5"/>
      <c r="N291" s="4"/>
      <c r="O291" s="5"/>
      <c r="P291" s="5"/>
      <c r="Q291" s="5"/>
    </row>
    <row r="292" spans="1:17">
      <c r="A292" s="14"/>
      <c r="B292" s="28"/>
      <c r="C292" s="5"/>
      <c r="D292" s="5"/>
      <c r="E292" s="4"/>
      <c r="F292" s="4"/>
      <c r="G292" s="4"/>
      <c r="H292" s="4"/>
      <c r="I292" s="4"/>
      <c r="J292" s="4"/>
      <c r="K292" s="5"/>
      <c r="L292" s="5"/>
      <c r="M292" s="5"/>
      <c r="N292" s="4"/>
      <c r="O292" s="5"/>
      <c r="P292" s="5"/>
      <c r="Q292" s="5"/>
    </row>
    <row r="293" spans="1:17" ht="14.5" thickBot="1">
      <c r="A293" s="14"/>
      <c r="B293" s="28"/>
      <c r="C293" s="5"/>
      <c r="D293" s="5"/>
      <c r="E293" s="4"/>
      <c r="F293" s="4"/>
      <c r="G293" s="4"/>
      <c r="H293" s="4"/>
      <c r="I293" s="4"/>
      <c r="J293" s="4"/>
      <c r="K293" s="5"/>
      <c r="L293" s="5"/>
      <c r="M293" s="5"/>
      <c r="N293" s="4"/>
      <c r="O293" s="5"/>
      <c r="P293" s="5"/>
      <c r="Q293" s="5"/>
    </row>
    <row r="294" spans="1:17">
      <c r="A294" s="12"/>
      <c r="B294" s="29"/>
      <c r="C294" s="3"/>
      <c r="D294" s="3"/>
      <c r="E294" s="2"/>
      <c r="F294" s="2"/>
      <c r="G294" s="2"/>
      <c r="H294" s="2"/>
      <c r="I294" s="2"/>
      <c r="J294" s="2"/>
      <c r="K294" s="3"/>
      <c r="L294" s="3"/>
      <c r="M294" s="3"/>
      <c r="N294" s="2"/>
      <c r="O294" s="3"/>
      <c r="P294" s="3"/>
      <c r="Q294" s="3"/>
    </row>
    <row r="295" spans="1:17">
      <c r="A295" s="14"/>
      <c r="B295" s="30"/>
      <c r="C295" s="5"/>
      <c r="D295" s="5"/>
      <c r="E295" s="4"/>
      <c r="F295" s="4"/>
      <c r="G295" s="4"/>
      <c r="H295" s="4"/>
      <c r="I295" s="4"/>
      <c r="J295" s="4"/>
      <c r="K295" s="5"/>
      <c r="L295" s="5"/>
      <c r="M295" s="5"/>
      <c r="N295" s="4"/>
      <c r="O295" s="5"/>
      <c r="P295" s="5"/>
      <c r="Q295" s="5"/>
    </row>
    <row r="296" spans="1:17">
      <c r="A296" s="14"/>
      <c r="B296" s="30"/>
      <c r="C296" s="5"/>
      <c r="D296" s="5"/>
      <c r="E296" s="4"/>
      <c r="F296" s="4"/>
      <c r="G296" s="4"/>
      <c r="H296" s="4"/>
      <c r="I296" s="4"/>
      <c r="J296" s="4"/>
      <c r="K296" s="5"/>
      <c r="L296" s="5"/>
      <c r="M296" s="5"/>
      <c r="N296" s="4"/>
      <c r="O296" s="5"/>
      <c r="P296" s="5"/>
      <c r="Q296" s="5"/>
    </row>
    <row r="297" spans="1:17">
      <c r="A297" s="14"/>
      <c r="B297" s="30"/>
      <c r="C297" s="5"/>
      <c r="D297" s="5"/>
      <c r="E297" s="4"/>
      <c r="F297" s="4"/>
      <c r="G297" s="4"/>
      <c r="H297" s="4"/>
      <c r="I297" s="4"/>
      <c r="J297" s="4"/>
      <c r="K297" s="5"/>
      <c r="L297" s="5"/>
      <c r="M297" s="5"/>
      <c r="N297" s="4"/>
      <c r="O297" s="5"/>
      <c r="P297" s="5"/>
      <c r="Q297" s="5"/>
    </row>
    <row r="298" spans="1:17">
      <c r="A298" s="14"/>
      <c r="B298" s="30"/>
      <c r="C298" s="5"/>
      <c r="D298" s="5"/>
      <c r="E298" s="4"/>
      <c r="F298" s="4"/>
      <c r="G298" s="4"/>
      <c r="H298" s="4"/>
      <c r="I298" s="4"/>
      <c r="J298" s="4"/>
      <c r="K298" s="5"/>
      <c r="L298" s="5"/>
      <c r="M298" s="5"/>
      <c r="N298" s="4"/>
      <c r="O298" s="5"/>
      <c r="P298" s="5"/>
      <c r="Q298" s="5"/>
    </row>
    <row r="299" spans="1:17" ht="14.5" thickBot="1">
      <c r="A299" s="14"/>
      <c r="B299" s="30"/>
      <c r="C299" s="5"/>
      <c r="D299" s="5"/>
      <c r="E299" s="4"/>
      <c r="F299" s="4"/>
      <c r="G299" s="4"/>
      <c r="H299" s="4"/>
      <c r="I299" s="4"/>
      <c r="J299" s="4"/>
      <c r="K299" s="5"/>
      <c r="L299" s="5"/>
      <c r="M299" s="5"/>
      <c r="N299" s="4"/>
      <c r="O299" s="5"/>
      <c r="P299" s="5"/>
      <c r="Q299" s="5"/>
    </row>
    <row r="300" spans="1:17">
      <c r="A300" s="12"/>
      <c r="B300" s="29"/>
      <c r="C300" s="3"/>
      <c r="D300" s="3"/>
      <c r="E300" s="2"/>
      <c r="F300" s="2"/>
      <c r="G300" s="2"/>
      <c r="H300" s="2"/>
      <c r="I300" s="2"/>
      <c r="J300" s="2"/>
      <c r="K300" s="3"/>
      <c r="L300" s="3"/>
      <c r="M300" s="3"/>
      <c r="N300" s="2"/>
      <c r="O300" s="3"/>
      <c r="P300" s="3"/>
      <c r="Q300" s="3"/>
    </row>
    <row r="301" spans="1:17">
      <c r="A301" s="14"/>
      <c r="B301" s="30"/>
      <c r="C301" s="5"/>
      <c r="D301" s="5"/>
      <c r="E301" s="4"/>
      <c r="F301" s="4"/>
      <c r="G301" s="4"/>
      <c r="H301" s="4"/>
      <c r="I301" s="4"/>
      <c r="J301" s="4"/>
      <c r="K301" s="5"/>
      <c r="L301" s="5"/>
      <c r="M301" s="5"/>
      <c r="N301" s="4"/>
      <c r="O301" s="5"/>
      <c r="P301" s="5"/>
      <c r="Q301" s="5"/>
    </row>
    <row r="302" spans="1:17">
      <c r="A302" s="14"/>
      <c r="B302" s="30"/>
      <c r="C302" s="5"/>
      <c r="D302" s="5"/>
      <c r="E302" s="4"/>
      <c r="F302" s="4"/>
      <c r="G302" s="4"/>
      <c r="H302" s="4"/>
      <c r="I302" s="4"/>
      <c r="J302" s="4"/>
      <c r="K302" s="5"/>
      <c r="L302" s="5"/>
      <c r="M302" s="5"/>
      <c r="N302" s="4"/>
      <c r="O302" s="5"/>
      <c r="P302" s="5"/>
      <c r="Q302" s="5"/>
    </row>
    <row r="303" spans="1:17">
      <c r="A303" s="14"/>
      <c r="B303" s="30"/>
      <c r="C303" s="5"/>
      <c r="D303" s="5"/>
      <c r="E303" s="4"/>
      <c r="F303" s="4"/>
      <c r="G303" s="4"/>
      <c r="H303" s="4"/>
      <c r="I303" s="4"/>
      <c r="J303" s="4"/>
      <c r="K303" s="5"/>
      <c r="L303" s="5"/>
      <c r="M303" s="5"/>
      <c r="N303" s="4"/>
      <c r="O303" s="5"/>
      <c r="P303" s="5"/>
      <c r="Q303" s="5"/>
    </row>
    <row r="304" spans="1:17" ht="14.5" thickBot="1">
      <c r="A304" s="14"/>
      <c r="B304" s="30"/>
      <c r="C304" s="5"/>
      <c r="D304" s="5"/>
      <c r="E304" s="4"/>
      <c r="F304" s="4"/>
      <c r="G304" s="4"/>
      <c r="H304" s="4"/>
      <c r="I304" s="4"/>
      <c r="J304" s="4"/>
      <c r="K304" s="5"/>
      <c r="L304" s="5"/>
      <c r="M304" s="5"/>
      <c r="N304" s="4"/>
      <c r="O304" s="5"/>
      <c r="P304" s="5"/>
      <c r="Q304" s="5"/>
    </row>
    <row r="305" spans="1:17">
      <c r="A305" s="12"/>
      <c r="B305" s="29"/>
      <c r="C305" s="3"/>
      <c r="D305" s="3"/>
      <c r="E305" s="2"/>
      <c r="F305" s="2"/>
      <c r="G305" s="2"/>
      <c r="H305" s="2"/>
      <c r="I305" s="2"/>
      <c r="J305" s="2"/>
      <c r="K305" s="3"/>
      <c r="L305" s="3"/>
      <c r="M305" s="3"/>
      <c r="N305" s="2"/>
      <c r="O305" s="3"/>
      <c r="P305" s="3"/>
      <c r="Q305" s="3"/>
    </row>
    <row r="306" spans="1:17">
      <c r="A306" s="14"/>
      <c r="B306" s="30"/>
      <c r="C306" s="5"/>
      <c r="D306" s="5"/>
      <c r="E306" s="4"/>
      <c r="F306" s="4"/>
      <c r="G306" s="4"/>
      <c r="H306" s="4"/>
      <c r="I306" s="4"/>
      <c r="J306" s="4"/>
      <c r="K306" s="5"/>
      <c r="L306" s="5"/>
      <c r="M306" s="5"/>
      <c r="N306" s="4"/>
      <c r="O306" s="5"/>
      <c r="P306" s="5"/>
      <c r="Q306" s="5"/>
    </row>
    <row r="307" spans="1:17">
      <c r="A307" s="14"/>
      <c r="B307" s="30"/>
      <c r="C307" s="5"/>
      <c r="D307" s="5"/>
      <c r="E307" s="4"/>
      <c r="F307" s="4"/>
      <c r="G307" s="4"/>
      <c r="H307" s="4"/>
      <c r="I307" s="4"/>
      <c r="J307" s="4"/>
      <c r="K307" s="5"/>
      <c r="L307" s="5"/>
      <c r="M307" s="5"/>
      <c r="N307" s="4"/>
      <c r="O307" s="5"/>
      <c r="P307" s="5"/>
      <c r="Q307" s="5"/>
    </row>
    <row r="308" spans="1:17">
      <c r="A308" s="14"/>
      <c r="B308" s="30"/>
      <c r="C308" s="5"/>
      <c r="D308" s="5"/>
      <c r="E308" s="4"/>
      <c r="F308" s="4"/>
      <c r="G308" s="4"/>
      <c r="H308" s="4"/>
      <c r="I308" s="4"/>
      <c r="J308" s="4"/>
      <c r="K308" s="5"/>
      <c r="L308" s="5"/>
      <c r="M308" s="5"/>
      <c r="N308" s="4"/>
      <c r="O308" s="5"/>
      <c r="P308" s="5"/>
      <c r="Q308" s="5"/>
    </row>
    <row r="309" spans="1:17" ht="14.5" thickBot="1">
      <c r="A309" s="14"/>
      <c r="B309" s="30"/>
      <c r="C309" s="5"/>
      <c r="D309" s="5"/>
      <c r="E309" s="4"/>
      <c r="F309" s="4"/>
      <c r="G309" s="4"/>
      <c r="H309" s="4"/>
      <c r="I309" s="4"/>
      <c r="J309" s="4"/>
      <c r="K309" s="5"/>
      <c r="L309" s="5"/>
      <c r="M309" s="5"/>
      <c r="N309" s="4"/>
      <c r="O309" s="5"/>
      <c r="P309" s="5"/>
      <c r="Q309" s="5"/>
    </row>
    <row r="310" spans="1:17">
      <c r="A310" s="12"/>
      <c r="B310" s="29"/>
      <c r="C310" s="3"/>
      <c r="D310" s="3"/>
      <c r="E310" s="2"/>
      <c r="F310" s="2"/>
      <c r="G310" s="2"/>
      <c r="H310" s="2"/>
      <c r="I310" s="2"/>
      <c r="J310" s="2"/>
      <c r="K310" s="3"/>
      <c r="L310" s="3"/>
      <c r="M310" s="3"/>
      <c r="N310" s="2"/>
      <c r="O310" s="3"/>
      <c r="P310" s="3"/>
      <c r="Q310" s="3"/>
    </row>
    <row r="311" spans="1:17">
      <c r="A311" s="14"/>
      <c r="B311" s="30"/>
      <c r="C311" s="5"/>
      <c r="D311" s="5"/>
      <c r="E311" s="4"/>
      <c r="F311" s="4"/>
      <c r="G311" s="4"/>
      <c r="H311" s="4"/>
      <c r="I311" s="4"/>
      <c r="J311" s="4"/>
      <c r="K311" s="5"/>
      <c r="L311" s="5"/>
      <c r="M311" s="5"/>
      <c r="N311" s="4"/>
      <c r="O311" s="5"/>
      <c r="P311" s="5"/>
      <c r="Q311" s="5"/>
    </row>
    <row r="312" spans="1:17">
      <c r="A312" s="14"/>
      <c r="B312" s="30"/>
      <c r="C312" s="5"/>
      <c r="D312" s="5"/>
      <c r="E312" s="4"/>
      <c r="F312" s="4"/>
      <c r="G312" s="4"/>
      <c r="H312" s="4"/>
      <c r="I312" s="4"/>
      <c r="J312" s="4"/>
      <c r="K312" s="5"/>
      <c r="L312" s="5"/>
      <c r="M312" s="5"/>
      <c r="N312" s="4"/>
      <c r="O312" s="5"/>
      <c r="P312" s="5"/>
      <c r="Q312" s="5"/>
    </row>
    <row r="313" spans="1:17">
      <c r="A313" s="14"/>
      <c r="B313" s="30"/>
      <c r="C313" s="5"/>
      <c r="D313" s="5"/>
      <c r="E313" s="4"/>
      <c r="F313" s="4"/>
      <c r="G313" s="4"/>
      <c r="H313" s="4"/>
      <c r="I313" s="4"/>
      <c r="J313" s="4"/>
      <c r="K313" s="5"/>
      <c r="L313" s="5"/>
      <c r="M313" s="5"/>
      <c r="N313" s="4"/>
      <c r="O313" s="5"/>
      <c r="P313" s="5"/>
      <c r="Q313" s="5"/>
    </row>
    <row r="314" spans="1:17">
      <c r="A314" s="14"/>
      <c r="B314" s="30"/>
      <c r="C314" s="5"/>
      <c r="D314" s="5"/>
      <c r="E314" s="4"/>
      <c r="F314" s="4"/>
      <c r="G314" s="4"/>
      <c r="H314" s="4"/>
      <c r="I314" s="4"/>
      <c r="J314" s="4"/>
      <c r="K314" s="5"/>
      <c r="L314" s="5"/>
      <c r="M314" s="5"/>
      <c r="N314" s="4"/>
      <c r="O314" s="5"/>
      <c r="P314" s="5"/>
      <c r="Q314" s="5"/>
    </row>
    <row r="315" spans="1:17">
      <c r="A315" s="14"/>
      <c r="B315" s="30"/>
      <c r="C315" s="5"/>
      <c r="D315" s="5"/>
      <c r="E315" s="4"/>
      <c r="F315" s="4"/>
      <c r="G315" s="4"/>
      <c r="H315" s="4"/>
      <c r="I315" s="4"/>
      <c r="J315" s="4"/>
      <c r="K315" s="5"/>
      <c r="L315" s="5"/>
      <c r="M315" s="5"/>
      <c r="N315" s="4"/>
      <c r="O315" s="5"/>
      <c r="P315" s="5"/>
      <c r="Q315" s="5"/>
    </row>
    <row r="316" spans="1:17" ht="14.5" thickBot="1">
      <c r="A316" s="14"/>
      <c r="B316" s="30"/>
      <c r="C316" s="5"/>
      <c r="D316" s="5"/>
      <c r="E316" s="4"/>
      <c r="F316" s="4"/>
      <c r="G316" s="4"/>
      <c r="H316" s="4"/>
      <c r="I316" s="4"/>
      <c r="J316" s="4"/>
      <c r="K316" s="5"/>
      <c r="L316" s="5"/>
      <c r="M316" s="5"/>
      <c r="N316" s="4"/>
      <c r="O316" s="5"/>
      <c r="P316" s="5"/>
      <c r="Q316" s="5"/>
    </row>
    <row r="317" spans="1:17">
      <c r="A317" s="12"/>
      <c r="B317" s="29"/>
      <c r="C317" s="3"/>
      <c r="D317" s="3"/>
      <c r="E317" s="2"/>
      <c r="F317" s="2"/>
      <c r="G317" s="2"/>
      <c r="H317" s="2"/>
      <c r="I317" s="2"/>
      <c r="J317" s="2"/>
      <c r="K317" s="3"/>
      <c r="L317" s="3"/>
      <c r="M317" s="3"/>
      <c r="N317" s="2"/>
      <c r="O317" s="3"/>
      <c r="P317" s="3"/>
      <c r="Q317" s="3"/>
    </row>
    <row r="318" spans="1:17">
      <c r="A318" s="14"/>
      <c r="B318" s="30"/>
      <c r="C318" s="5"/>
      <c r="D318" s="5"/>
      <c r="E318" s="4"/>
      <c r="F318" s="4"/>
      <c r="G318" s="4"/>
      <c r="H318" s="4"/>
      <c r="I318" s="4"/>
      <c r="J318" s="4"/>
      <c r="K318" s="5"/>
      <c r="L318" s="5"/>
      <c r="M318" s="5"/>
      <c r="N318" s="4"/>
      <c r="O318" s="5"/>
      <c r="P318" s="5"/>
      <c r="Q318" s="5"/>
    </row>
    <row r="319" spans="1:17" ht="14.5" thickBot="1">
      <c r="A319" s="14"/>
      <c r="B319" s="30"/>
      <c r="C319" s="5"/>
      <c r="D319" s="5"/>
      <c r="E319" s="4"/>
      <c r="F319" s="4"/>
      <c r="G319" s="4"/>
      <c r="H319" s="4"/>
      <c r="I319" s="4"/>
      <c r="J319" s="4"/>
      <c r="K319" s="5"/>
      <c r="L319" s="5"/>
      <c r="M319" s="5"/>
      <c r="N319" s="4"/>
      <c r="O319" s="5"/>
      <c r="P319" s="5"/>
      <c r="Q319" s="5"/>
    </row>
    <row r="320" spans="1:17">
      <c r="A320" s="12"/>
      <c r="B320" s="29"/>
      <c r="C320" s="3"/>
      <c r="D320" s="3"/>
      <c r="E320" s="2"/>
      <c r="F320" s="2"/>
      <c r="G320" s="2"/>
      <c r="H320" s="2"/>
      <c r="I320" s="2"/>
      <c r="J320" s="2"/>
      <c r="K320" s="3"/>
      <c r="L320" s="3"/>
      <c r="M320" s="3"/>
      <c r="N320" s="2"/>
      <c r="O320" s="3"/>
      <c r="P320" s="3"/>
      <c r="Q320" s="3"/>
    </row>
    <row r="321" spans="1:17">
      <c r="A321" s="14"/>
      <c r="B321" s="30"/>
      <c r="C321" s="5"/>
      <c r="D321" s="5"/>
      <c r="E321" s="4"/>
      <c r="F321" s="4"/>
      <c r="G321" s="4"/>
      <c r="H321" s="4"/>
      <c r="I321" s="4"/>
      <c r="J321" s="4"/>
      <c r="K321" s="5"/>
      <c r="L321" s="5"/>
      <c r="M321" s="5"/>
      <c r="N321" s="4"/>
      <c r="O321" s="5"/>
      <c r="P321" s="5"/>
      <c r="Q321" s="5"/>
    </row>
    <row r="322" spans="1:17">
      <c r="A322" s="14"/>
      <c r="B322" s="30"/>
      <c r="C322" s="5"/>
      <c r="D322" s="5"/>
      <c r="E322" s="4"/>
      <c r="F322" s="4"/>
      <c r="G322" s="4"/>
      <c r="H322" s="4"/>
      <c r="I322" s="4"/>
      <c r="J322" s="4"/>
      <c r="K322" s="5"/>
      <c r="L322" s="5"/>
      <c r="M322" s="5"/>
      <c r="N322" s="4"/>
      <c r="O322" s="5"/>
      <c r="P322" s="5"/>
      <c r="Q322" s="5"/>
    </row>
    <row r="323" spans="1:17">
      <c r="A323" s="14"/>
      <c r="B323" s="30"/>
      <c r="C323" s="5"/>
      <c r="D323" s="5"/>
      <c r="E323" s="4"/>
      <c r="F323" s="4"/>
      <c r="G323" s="4"/>
      <c r="H323" s="4"/>
      <c r="I323" s="4"/>
      <c r="J323" s="4"/>
      <c r="K323" s="5"/>
      <c r="L323" s="5"/>
      <c r="M323" s="5"/>
      <c r="N323" s="4"/>
      <c r="O323" s="5"/>
      <c r="P323" s="5"/>
      <c r="Q323" s="5"/>
    </row>
    <row r="324" spans="1:17">
      <c r="A324" s="14"/>
      <c r="B324" s="30"/>
      <c r="C324" s="5"/>
      <c r="D324" s="5"/>
      <c r="E324" s="4"/>
      <c r="F324" s="4"/>
      <c r="G324" s="4"/>
      <c r="H324" s="4"/>
      <c r="I324" s="4"/>
      <c r="J324" s="4"/>
      <c r="K324" s="5"/>
      <c r="L324" s="5"/>
      <c r="M324" s="5"/>
      <c r="N324" s="4"/>
      <c r="O324" s="5"/>
      <c r="P324" s="5"/>
      <c r="Q324" s="5"/>
    </row>
    <row r="325" spans="1:17">
      <c r="A325" s="14"/>
      <c r="B325" s="30"/>
      <c r="C325" s="5"/>
      <c r="D325" s="5"/>
      <c r="E325" s="4"/>
      <c r="F325" s="4"/>
      <c r="G325" s="4"/>
      <c r="H325" s="4"/>
      <c r="I325" s="4"/>
      <c r="J325" s="4"/>
      <c r="K325" s="5"/>
      <c r="L325" s="5"/>
      <c r="M325" s="5"/>
      <c r="N325" s="4"/>
      <c r="O325" s="5"/>
      <c r="P325" s="5"/>
      <c r="Q325" s="5"/>
    </row>
    <row r="326" spans="1:17">
      <c r="A326" s="14"/>
      <c r="B326" s="30"/>
      <c r="C326" s="5"/>
      <c r="D326" s="5"/>
      <c r="E326" s="4"/>
      <c r="F326" s="4"/>
      <c r="G326" s="4"/>
      <c r="H326" s="4"/>
      <c r="I326" s="4"/>
      <c r="J326" s="4"/>
      <c r="K326" s="5"/>
      <c r="L326" s="5"/>
      <c r="M326" s="5"/>
      <c r="N326" s="4"/>
      <c r="O326" s="5"/>
      <c r="P326" s="5"/>
      <c r="Q326" s="5"/>
    </row>
    <row r="327" spans="1:17" ht="14.5" thickBot="1">
      <c r="A327" s="14"/>
      <c r="B327" s="30"/>
      <c r="C327" s="5"/>
      <c r="D327" s="5"/>
      <c r="E327" s="4"/>
      <c r="F327" s="4"/>
      <c r="G327" s="4"/>
      <c r="H327" s="4"/>
      <c r="I327" s="4"/>
      <c r="J327" s="4"/>
      <c r="K327" s="5"/>
      <c r="L327" s="5"/>
      <c r="M327" s="5"/>
      <c r="N327" s="4"/>
      <c r="O327" s="5"/>
      <c r="P327" s="5"/>
      <c r="Q327" s="5"/>
    </row>
    <row r="328" spans="1:17">
      <c r="A328" s="12"/>
      <c r="B328" s="29"/>
      <c r="C328" s="3"/>
      <c r="D328" s="3"/>
      <c r="E328" s="2"/>
      <c r="F328" s="2"/>
      <c r="G328" s="2"/>
      <c r="H328" s="2"/>
      <c r="I328" s="2"/>
      <c r="J328" s="2"/>
      <c r="K328" s="3"/>
      <c r="L328" s="3"/>
      <c r="M328" s="3"/>
      <c r="N328" s="2"/>
      <c r="O328" s="3"/>
      <c r="P328" s="3"/>
      <c r="Q328" s="3"/>
    </row>
    <row r="329" spans="1:17" ht="14.5" thickBot="1">
      <c r="A329" s="14"/>
      <c r="B329" s="30"/>
      <c r="C329" s="5"/>
      <c r="D329" s="5"/>
      <c r="E329" s="4"/>
      <c r="F329" s="4"/>
      <c r="G329" s="4"/>
      <c r="H329" s="4"/>
      <c r="I329" s="4"/>
      <c r="J329" s="4"/>
      <c r="K329" s="5"/>
      <c r="L329" s="5"/>
      <c r="M329" s="5"/>
      <c r="N329" s="4"/>
      <c r="O329" s="5"/>
      <c r="P329" s="5"/>
      <c r="Q329" s="5"/>
    </row>
    <row r="330" spans="1:17">
      <c r="A330" s="12"/>
      <c r="B330" s="29"/>
      <c r="C330" s="3"/>
      <c r="D330" s="3"/>
      <c r="E330" s="2"/>
      <c r="F330" s="2"/>
      <c r="G330" s="2"/>
      <c r="H330" s="2"/>
      <c r="I330" s="2"/>
      <c r="J330" s="2"/>
      <c r="K330" s="3"/>
      <c r="L330" s="3"/>
      <c r="M330" s="3"/>
      <c r="N330" s="2"/>
      <c r="O330" s="3"/>
      <c r="P330" s="3"/>
      <c r="Q330" s="3"/>
    </row>
    <row r="331" spans="1:17">
      <c r="A331" s="14"/>
      <c r="B331" s="30"/>
      <c r="C331" s="5"/>
      <c r="D331" s="5"/>
      <c r="E331" s="4"/>
      <c r="F331" s="4"/>
      <c r="G331" s="4"/>
      <c r="H331" s="4"/>
      <c r="I331" s="4"/>
      <c r="J331" s="4"/>
      <c r="K331" s="5"/>
      <c r="L331" s="5"/>
      <c r="M331" s="5"/>
      <c r="N331" s="4"/>
      <c r="O331" s="5"/>
      <c r="P331" s="5"/>
      <c r="Q331" s="5"/>
    </row>
    <row r="332" spans="1:17">
      <c r="A332" s="14"/>
      <c r="B332" s="30"/>
      <c r="C332" s="5"/>
      <c r="D332" s="5"/>
      <c r="E332" s="4"/>
      <c r="F332" s="4"/>
      <c r="G332" s="4"/>
      <c r="H332" s="4"/>
      <c r="I332" s="4"/>
      <c r="J332" s="4"/>
      <c r="K332" s="5"/>
      <c r="L332" s="5"/>
      <c r="M332" s="5"/>
      <c r="N332" s="4"/>
      <c r="O332" s="5"/>
      <c r="P332" s="5"/>
      <c r="Q332" s="5"/>
    </row>
    <row r="333" spans="1:17">
      <c r="A333" s="14"/>
      <c r="B333" s="30"/>
      <c r="C333" s="5"/>
      <c r="D333" s="5"/>
      <c r="E333" s="4"/>
      <c r="F333" s="4"/>
      <c r="G333" s="4"/>
      <c r="H333" s="4"/>
      <c r="I333" s="4"/>
      <c r="J333" s="4"/>
      <c r="K333" s="5"/>
      <c r="L333" s="5"/>
      <c r="M333" s="5"/>
      <c r="N333" s="4"/>
      <c r="O333" s="5"/>
      <c r="P333" s="5"/>
      <c r="Q333" s="5"/>
    </row>
    <row r="334" spans="1:17">
      <c r="A334" s="14"/>
      <c r="B334" s="30"/>
      <c r="C334" s="5"/>
      <c r="D334" s="5"/>
      <c r="E334" s="4"/>
      <c r="F334" s="4"/>
      <c r="G334" s="4"/>
      <c r="H334" s="4"/>
      <c r="I334" s="4"/>
      <c r="J334" s="4"/>
      <c r="K334" s="5"/>
      <c r="L334" s="5"/>
      <c r="M334" s="5"/>
      <c r="N334" s="4"/>
      <c r="O334" s="5"/>
      <c r="P334" s="5"/>
      <c r="Q334" s="5"/>
    </row>
    <row r="335" spans="1:17">
      <c r="A335" s="14"/>
      <c r="B335" s="30"/>
      <c r="C335" s="5"/>
      <c r="D335" s="5"/>
      <c r="E335" s="4"/>
      <c r="F335" s="4"/>
      <c r="G335" s="4"/>
      <c r="H335" s="4"/>
      <c r="I335" s="4"/>
      <c r="J335" s="4"/>
      <c r="K335" s="5"/>
      <c r="L335" s="5"/>
      <c r="M335" s="5"/>
      <c r="N335" s="4"/>
      <c r="O335" s="5"/>
      <c r="P335" s="5"/>
      <c r="Q335" s="5"/>
    </row>
    <row r="336" spans="1:17">
      <c r="A336" s="14"/>
      <c r="B336" s="30"/>
      <c r="C336" s="5"/>
      <c r="D336" s="5"/>
      <c r="E336" s="4"/>
      <c r="F336" s="4"/>
      <c r="G336" s="4"/>
      <c r="H336" s="4"/>
      <c r="I336" s="4"/>
      <c r="J336" s="4"/>
      <c r="K336" s="5"/>
      <c r="L336" s="5"/>
      <c r="M336" s="5"/>
      <c r="N336" s="4"/>
      <c r="O336" s="5"/>
      <c r="P336" s="5"/>
      <c r="Q336" s="5"/>
    </row>
    <row r="337" spans="1:17">
      <c r="A337" s="14"/>
      <c r="B337" s="30"/>
      <c r="C337" s="5"/>
      <c r="D337" s="5"/>
      <c r="E337" s="4"/>
      <c r="F337" s="4"/>
      <c r="G337" s="4"/>
      <c r="H337" s="4"/>
      <c r="I337" s="4"/>
      <c r="J337" s="4"/>
      <c r="K337" s="5"/>
      <c r="L337" s="5"/>
      <c r="M337" s="5"/>
      <c r="N337" s="4"/>
      <c r="O337" s="5"/>
      <c r="P337" s="5"/>
      <c r="Q337" s="5"/>
    </row>
    <row r="338" spans="1:17" ht="14.5" thickBot="1">
      <c r="A338" s="14"/>
      <c r="B338" s="30"/>
      <c r="C338" s="5"/>
      <c r="D338" s="5"/>
      <c r="E338" s="4"/>
      <c r="F338" s="4"/>
      <c r="G338" s="4"/>
      <c r="H338" s="4"/>
      <c r="I338" s="4"/>
      <c r="J338" s="4"/>
      <c r="K338" s="5"/>
      <c r="L338" s="5"/>
      <c r="M338" s="5"/>
      <c r="N338" s="4"/>
      <c r="O338" s="5"/>
      <c r="P338" s="5"/>
      <c r="Q338" s="5"/>
    </row>
    <row r="339" spans="1:17" ht="14.5" thickBot="1">
      <c r="A339" s="31"/>
      <c r="B339" s="32"/>
      <c r="C339" s="7"/>
      <c r="D339" s="7"/>
      <c r="E339" s="6"/>
      <c r="F339" s="6"/>
      <c r="G339" s="6"/>
      <c r="H339" s="6"/>
      <c r="I339" s="6"/>
      <c r="J339" s="6"/>
      <c r="K339" s="7"/>
      <c r="L339" s="7"/>
      <c r="M339" s="7"/>
      <c r="N339" s="6"/>
      <c r="O339" s="7"/>
      <c r="P339" s="7"/>
      <c r="Q339" s="7"/>
    </row>
    <row r="340" spans="1:17">
      <c r="A340" s="14"/>
      <c r="B340" s="33"/>
      <c r="C340" s="5"/>
      <c r="D340" s="5"/>
      <c r="E340" s="4"/>
      <c r="F340" s="4"/>
      <c r="G340" s="4"/>
      <c r="H340" s="4"/>
      <c r="I340" s="4"/>
      <c r="J340" s="4"/>
      <c r="K340" s="5"/>
      <c r="L340" s="5"/>
      <c r="M340" s="5"/>
      <c r="N340" s="4"/>
      <c r="O340" s="5"/>
      <c r="P340" s="5"/>
      <c r="Q340" s="5"/>
    </row>
    <row r="341" spans="1:17">
      <c r="A341" s="14"/>
      <c r="B341" s="33"/>
      <c r="C341" s="5"/>
      <c r="D341" s="5"/>
      <c r="E341" s="4"/>
      <c r="F341" s="4"/>
      <c r="G341" s="4"/>
      <c r="H341" s="4"/>
      <c r="I341" s="4"/>
      <c r="J341" s="4"/>
      <c r="K341" s="5"/>
      <c r="L341" s="5"/>
      <c r="M341" s="5"/>
      <c r="N341" s="4"/>
      <c r="O341" s="5"/>
      <c r="P341" s="5"/>
      <c r="Q341" s="5"/>
    </row>
    <row r="342" spans="1:17">
      <c r="A342" s="14"/>
      <c r="B342" s="33"/>
      <c r="C342" s="5"/>
      <c r="D342" s="5"/>
      <c r="E342" s="4"/>
      <c r="F342" s="4"/>
      <c r="G342" s="4"/>
      <c r="H342" s="4"/>
      <c r="I342" s="4"/>
      <c r="J342" s="4"/>
      <c r="K342" s="5"/>
      <c r="L342" s="5"/>
      <c r="M342" s="5"/>
      <c r="N342" s="4"/>
      <c r="O342" s="5"/>
      <c r="P342" s="5"/>
      <c r="Q342" s="5"/>
    </row>
    <row r="343" spans="1:17">
      <c r="A343" s="14"/>
      <c r="B343" s="33"/>
      <c r="C343" s="5"/>
      <c r="D343" s="5"/>
      <c r="E343" s="4"/>
      <c r="F343" s="4"/>
      <c r="G343" s="4"/>
      <c r="H343" s="4"/>
      <c r="I343" s="4"/>
      <c r="J343" s="4"/>
      <c r="K343" s="5"/>
      <c r="L343" s="5"/>
      <c r="M343" s="5"/>
      <c r="N343" s="4"/>
      <c r="O343" s="5"/>
      <c r="P343" s="5"/>
      <c r="Q343" s="5"/>
    </row>
    <row r="344" spans="1:17">
      <c r="A344" s="14"/>
      <c r="B344" s="33"/>
      <c r="C344" s="5"/>
      <c r="D344" s="5"/>
      <c r="E344" s="4"/>
      <c r="F344" s="4"/>
      <c r="G344" s="4"/>
      <c r="H344" s="4"/>
      <c r="I344" s="4"/>
      <c r="J344" s="4"/>
      <c r="K344" s="5"/>
      <c r="L344" s="5"/>
      <c r="M344" s="5"/>
      <c r="N344" s="4"/>
      <c r="O344" s="5"/>
      <c r="P344" s="5"/>
      <c r="Q344" s="5"/>
    </row>
    <row r="345" spans="1:17">
      <c r="A345" s="14"/>
      <c r="B345" s="33"/>
      <c r="C345" s="5"/>
      <c r="D345" s="5"/>
      <c r="E345" s="4"/>
      <c r="F345" s="4"/>
      <c r="G345" s="4"/>
      <c r="H345" s="4"/>
      <c r="I345" s="4"/>
      <c r="J345" s="4"/>
      <c r="K345" s="5"/>
      <c r="L345" s="5"/>
      <c r="M345" s="5"/>
      <c r="N345" s="4"/>
      <c r="O345" s="5"/>
      <c r="P345" s="5"/>
      <c r="Q345" s="5"/>
    </row>
    <row r="346" spans="1:17">
      <c r="A346" s="14"/>
      <c r="B346" s="33"/>
      <c r="C346" s="5"/>
      <c r="D346" s="5"/>
      <c r="E346" s="4"/>
      <c r="F346" s="4"/>
      <c r="G346" s="4"/>
      <c r="H346" s="4"/>
      <c r="I346" s="4"/>
      <c r="J346" s="4"/>
      <c r="K346" s="5"/>
      <c r="L346" s="5"/>
      <c r="M346" s="5"/>
      <c r="N346" s="4"/>
      <c r="O346" s="5"/>
      <c r="P346" s="5"/>
      <c r="Q346" s="5"/>
    </row>
    <row r="347" spans="1:17">
      <c r="A347" s="14"/>
      <c r="B347" s="33"/>
      <c r="C347" s="5"/>
      <c r="D347" s="5"/>
      <c r="E347" s="4"/>
      <c r="F347" s="4"/>
      <c r="G347" s="4"/>
      <c r="H347" s="4"/>
      <c r="I347" s="4"/>
      <c r="J347" s="4"/>
      <c r="K347" s="5"/>
      <c r="L347" s="5"/>
      <c r="M347" s="5"/>
      <c r="N347" s="4"/>
      <c r="O347" s="5"/>
      <c r="P347" s="5"/>
      <c r="Q347" s="5"/>
    </row>
    <row r="348" spans="1:17">
      <c r="A348" s="14"/>
      <c r="B348" s="33"/>
      <c r="C348" s="5"/>
      <c r="D348" s="5"/>
      <c r="E348" s="4"/>
      <c r="F348" s="4"/>
      <c r="G348" s="4"/>
      <c r="H348" s="4"/>
      <c r="I348" s="4"/>
      <c r="J348" s="4"/>
      <c r="K348" s="5"/>
      <c r="L348" s="5"/>
      <c r="M348" s="5"/>
      <c r="N348" s="4"/>
      <c r="O348" s="5"/>
      <c r="P348" s="5"/>
      <c r="Q348" s="5"/>
    </row>
    <row r="349" spans="1:17">
      <c r="A349" s="14"/>
      <c r="B349" s="33"/>
      <c r="C349" s="5"/>
      <c r="D349" s="5"/>
      <c r="E349" s="4"/>
      <c r="F349" s="4"/>
      <c r="G349" s="4"/>
      <c r="H349" s="4"/>
      <c r="I349" s="4"/>
      <c r="J349" s="4"/>
      <c r="K349" s="5"/>
      <c r="L349" s="5"/>
      <c r="M349" s="5"/>
      <c r="N349" s="4"/>
      <c r="O349" s="5"/>
      <c r="P349" s="5"/>
      <c r="Q349" s="5"/>
    </row>
  </sheetData>
  <conditionalFormatting sqref="D90:D349">
    <cfRule type="colorScale" priority="1">
      <colorScale>
        <cfvo type="min"/>
        <cfvo type="percentile" val="50"/>
        <cfvo type="max"/>
        <color rgb="FFE2F0D9"/>
        <color rgb="FFFFF2CC"/>
        <color rgb="FFF4CCCC"/>
      </colorScale>
    </cfRule>
  </conditionalFormatting>
  <dataValidations count="1">
    <dataValidation type="list" sqref="L90:L401" xr:uid="{C408FCB1-52D2-4F95-8B5E-501220AF5EBF}">
      <formula1>"Active,Retired,Draft"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61F3-765C-4C51-B54B-0FE383C70EB0}">
  <dimension ref="A1:C28"/>
  <sheetViews>
    <sheetView showGridLines="0" zoomScale="80" zoomScaleNormal="80" workbookViewId="0">
      <selection activeCell="A3" sqref="A3:B23"/>
    </sheetView>
  </sheetViews>
  <sheetFormatPr defaultRowHeight="14"/>
  <cols>
    <col min="1" max="1" width="71.4140625" bestFit="1" customWidth="1"/>
    <col min="2" max="2" width="91.25" bestFit="1" customWidth="1"/>
    <col min="3" max="3" width="15.1640625" bestFit="1" customWidth="1"/>
  </cols>
  <sheetData>
    <row r="1" spans="1:3" ht="18.5" thickBot="1">
      <c r="A1" s="35" t="s">
        <v>390</v>
      </c>
      <c r="B1" s="35"/>
      <c r="C1" s="35"/>
    </row>
    <row r="2" spans="1:3" ht="14.5" thickTop="1">
      <c r="A2" t="s">
        <v>391</v>
      </c>
    </row>
    <row r="3" spans="1:3" ht="14.5" thickBot="1">
      <c r="A3" s="36" t="s">
        <v>1</v>
      </c>
      <c r="B3" s="36" t="s">
        <v>392</v>
      </c>
      <c r="C3" s="36" t="s">
        <v>36</v>
      </c>
    </row>
    <row r="4" spans="1:3">
      <c r="A4" t="s">
        <v>34</v>
      </c>
      <c r="B4" t="s">
        <v>52</v>
      </c>
      <c r="C4">
        <f>COUNTIF('Technology Risk Assessment'!$B$2:$B$101,A4)</f>
        <v>10</v>
      </c>
    </row>
    <row r="5" spans="1:3">
      <c r="A5" t="s">
        <v>82</v>
      </c>
      <c r="B5" t="s">
        <v>87</v>
      </c>
      <c r="C5">
        <f>COUNTIF('Technology Risk Assessment'!$B$2:$B$101,A5)</f>
        <v>10</v>
      </c>
    </row>
    <row r="6" spans="1:3">
      <c r="A6" t="s">
        <v>33</v>
      </c>
      <c r="B6" t="s">
        <v>115</v>
      </c>
      <c r="C6">
        <f>COUNTIF('Technology Risk Assessment'!$B$2:$B$101,A6)</f>
        <v>10</v>
      </c>
    </row>
    <row r="7" spans="1:3">
      <c r="A7" t="s">
        <v>145</v>
      </c>
      <c r="B7" t="s">
        <v>150</v>
      </c>
      <c r="C7">
        <f>COUNTIF('Technology Risk Assessment'!$B$2:$B$101,A7)</f>
        <v>10</v>
      </c>
    </row>
    <row r="8" spans="1:3">
      <c r="A8" t="s">
        <v>181</v>
      </c>
      <c r="B8" t="s">
        <v>186</v>
      </c>
      <c r="C8">
        <f>COUNTIF('Technology Risk Assessment'!$B$2:$B$101,A8)</f>
        <v>10</v>
      </c>
    </row>
    <row r="9" spans="1:3">
      <c r="A9" t="s">
        <v>35</v>
      </c>
      <c r="B9" t="s">
        <v>220</v>
      </c>
      <c r="C9">
        <f>COUNTIF('Technology Risk Assessment'!$B$2:$B$101,A9)</f>
        <v>10</v>
      </c>
    </row>
    <row r="10" spans="1:3">
      <c r="A10" t="s">
        <v>250</v>
      </c>
      <c r="B10" t="s">
        <v>255</v>
      </c>
      <c r="C10">
        <f>COUNTIF('Technology Risk Assessment'!$B$2:$B$101,A10)</f>
        <v>10</v>
      </c>
    </row>
    <row r="11" spans="1:3">
      <c r="A11" t="s">
        <v>24</v>
      </c>
      <c r="B11" t="s">
        <v>289</v>
      </c>
      <c r="C11">
        <f>COUNTIF('Technology Risk Assessment'!$B$2:$B$101,A11)</f>
        <v>10</v>
      </c>
    </row>
    <row r="12" spans="1:3">
      <c r="A12" t="s">
        <v>15</v>
      </c>
      <c r="B12" t="s">
        <v>323</v>
      </c>
      <c r="C12">
        <f>COUNTIF('Technology Risk Assessment'!$B$2:$B$101,A12)</f>
        <v>10</v>
      </c>
    </row>
    <row r="13" spans="1:3">
      <c r="A13" t="s">
        <v>30</v>
      </c>
      <c r="B13" t="s">
        <v>359</v>
      </c>
      <c r="C13">
        <f>COUNTIF('Technology Risk Assessment'!$B$2:$B$101,A13)</f>
        <v>10</v>
      </c>
    </row>
    <row r="14" spans="1:3" ht="14.5" thickBot="1">
      <c r="A14" s="37" t="s">
        <v>31</v>
      </c>
      <c r="B14" s="37"/>
      <c r="C14" s="37">
        <f>SUM(C4:C13)</f>
        <v>100</v>
      </c>
    </row>
    <row r="16" spans="1:3">
      <c r="A16" s="38" t="s">
        <v>37</v>
      </c>
      <c r="B16" s="38" t="s">
        <v>9</v>
      </c>
    </row>
    <row r="17" spans="1:2">
      <c r="A17" t="s">
        <v>38</v>
      </c>
      <c r="B17" t="str">
        <f>IF(COUNTA('Technology Risk Assessment'!$A$2:$A$101)=COUNTA(_xlfn.UNIQUE('Technology Risk Assessment'!$A$2:$A$101)),"PASS — all IDs unique","FAIL — duplicate IDs")</f>
        <v>PASS — all IDs unique</v>
      </c>
    </row>
    <row r="18" spans="1:2">
      <c r="A18" t="s">
        <v>39</v>
      </c>
      <c r="B18" t="str">
        <f>IF(COUNTBLANK('Technology Risk Assessment'!$A$2:$Q$101)=0,"PASS — 0 blanks","FAIL — "&amp;COUNTBLANK('Technology Risk Assessment'!$A$2:$Q$101)&amp;" blank cells")</f>
        <v>PASS — 0 blanks</v>
      </c>
    </row>
    <row r="19" spans="1:2">
      <c r="A19" t="s">
        <v>40</v>
      </c>
      <c r="B19" t="str">
        <f>IF(COUNTIFS('Technology Risk Assessment'!$C$2:$C$101,"Objective Question",'Technology Risk Assessment'!$F$2:$F$101,"Correct answer: ?*")=COUNTIF('Technology Risk Assessment'!$C$2:$C$101,"Objective Question"),"PASS — all keys present","FAIL — missing answer key")</f>
        <v>PASS — all keys present</v>
      </c>
    </row>
    <row r="20" spans="1:2">
      <c r="A20" t="s">
        <v>41</v>
      </c>
      <c r="B20" t="str">
        <f>IF(COUNTBLANK('Technology Risk Assessment'!$P$2:$P$101)=0,"PASS — all populated","FAIL — missing mode")</f>
        <v>PASS — all populated</v>
      </c>
    </row>
    <row r="21" spans="1:2">
      <c r="A21" t="s">
        <v>42</v>
      </c>
      <c r="B21" t="str" cm="1">
        <f t="array" ref="B21">_xlfn.LET(_xlpm.q,_xlfn._xlws.FILTER('Technology Risk Assessment'!$E$2:$E$101,'Technology Risk Assessment'!$C$2:$C$101="Objective Question"),_xlpm.k,_xlfn._xlws.FILTER('Technology Risk Assessment'!$F$2:$F$101,'Technology Risk Assessment'!$C$2:$C$101="Objective Question"),_xlpm.bad,SUM(_xlfn.MAP(_xlpm.q,_xlpm.k,_xlfn.LAMBDA(_xlpm.x,_xlpm.y,_xlfn.LET(_xlpm.a,LEN(_xlfn.TEXTBEFORE(_xlfn.TEXTAFTER(_xlpm.x,"• A) "),CHAR(10)&amp;"• B)")),_xlpm.b,LEN(_xlfn.TEXTBEFORE(_xlfn.TEXTAFTER(_xlpm.x,"• B) "),CHAR(10)&amp;"• C)")),_xlpm.c,LEN(_xlfn.TEXTBEFORE(_xlfn.TEXTAFTER(_xlpm.x,"• C) "),CHAR(10)&amp;"• D)")),_xlpm.d,LEN(_xlfn.TEXTAFTER(_xlpm.x,"• D) ")),_xlpm.key,UPPER(_xlfn.TEXTBEFORE(_xlfn.TEXTAFTER(_xlpm.y,"Correct answer: "),";")),_xlpm.cl,CHOOSE(_xlfn.XMATCH(_xlpm.key,{"A","B","C","D"}),_xlpm.a,_xlpm.b,_xlpm.c,_xlpm.d),--(_xlpm.cl=MAX(_xlpm.a,_xlpm.b,_xlpm.c,_xlpm.d)))))),IF(_xlpm.bad=0,"PASS — correct answer never longest","FAIL — "&amp;_xlpm.bad&amp;" violation(s)"))</f>
        <v>PASS — correct answer never longest</v>
      </c>
    </row>
    <row r="22" spans="1:2">
      <c r="A22" t="s">
        <v>43</v>
      </c>
      <c r="B22" t="str">
        <f>IF(COUNTIF('Technology Risk Assessment'!$C$2:$C$101,"Objective Question")&gt;=60,"PASS — "&amp;COUNTIF('Technology Risk Assessment'!$C$2:$C$101,"Objective Question")&amp;" objective questions","FAIL — only "&amp;COUNTIF('Technology Risk Assessment'!$C$2:$C$101,"Objective Question")&amp;" objective questions")</f>
        <v>PASS — 60 objective questions</v>
      </c>
    </row>
    <row r="23" spans="1:2">
      <c r="A23" t="s">
        <v>417</v>
      </c>
      <c r="B23" t="str">
        <f>IF(COUNTIF('Technology Risk Assessment'!$E$2:$E$101,"*NIST*")&gt;=4,"PASS — cross-framework mapping tested","FAIL — insufficient mapping coverage")</f>
        <v>PASS — cross-framework mapping tested</v>
      </c>
    </row>
    <row r="24" spans="1:2">
      <c r="A24" t="s">
        <v>393</v>
      </c>
      <c r="B24" t="s">
        <v>394</v>
      </c>
    </row>
    <row r="25" spans="1:2">
      <c r="A25" t="s">
        <v>395</v>
      </c>
      <c r="B25" t="s">
        <v>396</v>
      </c>
    </row>
    <row r="26" spans="1:2">
      <c r="A26" t="s">
        <v>418</v>
      </c>
      <c r="B26" t="s">
        <v>419</v>
      </c>
    </row>
    <row r="27" spans="1:2" ht="14.5" thickBot="1">
      <c r="A27" s="8"/>
      <c r="B27" s="10"/>
    </row>
    <row r="28" spans="1:2" ht="15" thickTop="1" thickBot="1">
      <c r="A28" s="9"/>
      <c r="B28"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Technology Risk Assessment</vt:lpstr>
      <vt:lpstr>Technology Risk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 Mendiratta</dc:creator>
  <cp:lastModifiedBy>Love Mendiratta</cp:lastModifiedBy>
  <dcterms:created xsi:type="dcterms:W3CDTF">2026-08-29T19:59:35Z</dcterms:created>
  <dcterms:modified xsi:type="dcterms:W3CDTF">2026-09-24T04:58:05Z</dcterms:modified>
</cp:coreProperties>
</file>