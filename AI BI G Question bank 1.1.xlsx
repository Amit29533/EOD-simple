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hidePivotFieldList="1"/>
  <mc:AlternateContent xmlns:mc="http://schemas.openxmlformats.org/markup-compatibility/2006">
    <mc:Choice Requires="x15">
      <x15ac:absPath xmlns:x15ac="http://schemas.microsoft.com/office/spreadsheetml/2010/11/ac" url="C:\Users\Lenovo\Desktop\AnthroPrime\DBX\ECOD\3. Assessment\"/>
    </mc:Choice>
  </mc:AlternateContent>
  <xr:revisionPtr revIDLastSave="0" documentId="13_ncr:1_{F80B85F1-9680-43FD-9C36-EE5D5E2389C6}" xr6:coauthVersionLast="47" xr6:coauthVersionMax="47" xr10:uidLastSave="{00000000-0000-0000-0000-000000000000}"/>
  <bookViews>
    <workbookView xWindow="-110" yWindow="-110" windowWidth="19420" windowHeight="10300" xr2:uid="{DD3E76A3-F276-400B-98E7-D3560B8A1EAD}"/>
  </bookViews>
  <sheets>
    <sheet name="AI BI Genie Assessment" sheetId="3" r:id="rId1"/>
    <sheet name="AI BI Genie Summary"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22" i="4" l="1"/>
  <c r="B21" i="4" a="1"/>
  <c r="B21" i="4" s="1"/>
  <c r="B20" i="4"/>
  <c r="B19" i="4"/>
  <c r="B18" i="4"/>
  <c r="B17" i="4"/>
  <c r="C13" i="4"/>
  <c r="C12" i="4"/>
  <c r="C11" i="4"/>
  <c r="C10" i="4"/>
  <c r="C9" i="4"/>
  <c r="C8" i="4"/>
  <c r="C7" i="4"/>
  <c r="C6" i="4"/>
  <c r="C5" i="4"/>
  <c r="C4" i="4"/>
  <c r="C14"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<sst xmlns="http://schemas.openxmlformats.org/spreadsheetml/2006/main" count="1451" uniqueCount="451">
  <si>
    <t>Question ID</t>
  </si>
  <si>
    <t>Module ID</t>
  </si>
  <si>
    <t>Type</t>
  </si>
  <si>
    <t>Difficulty 1-5</t>
  </si>
  <si>
    <t>AI/BI Genie Assessment Question</t>
  </si>
  <si>
    <t>Follow-up Probes</t>
  </si>
  <si>
    <t>Expected Evidence (JD-aligned)</t>
  </si>
  <si>
    <t>Red Flags</t>
  </si>
  <si>
    <t>Gap Tag</t>
  </si>
  <si>
    <t>Enrichment Prescription</t>
  </si>
  <si>
    <t>Suggested Minutes</t>
  </si>
  <si>
    <t>Status</t>
  </si>
  <si>
    <t>Version</t>
  </si>
  <si>
    <t>Question Family</t>
  </si>
  <si>
    <t>Difficulty Band</t>
  </si>
  <si>
    <t>Assessment Mode</t>
  </si>
  <si>
    <t>Randomization Eligible</t>
  </si>
  <si>
    <t>AIBI-F01-001</t>
  </si>
  <si>
    <t>F01</t>
  </si>
  <si>
    <t>Objective Question</t>
  </si>
  <si>
    <t>Which response best addresses this assessment scenario? A commercial leader asks for "an AI assistant for sales" but cannot define the decisions it should improve. Lead the first discovery conversation and narrow the request into an assessable use case.
• A) Use a response that demonstrates: Clarifies users, moments of need, decisions, actions, data, value measures, constraints, and an initial scope with explicit exclusions.
• B) Choose the fastest implementation path and defer formal validation, access testing, operational ownership, and measurable acceptance until users report a production problem.
• C) Rely on a successful demonstration and senior stakeholder approval, then use early production feedback to resolve remaining data, security, performance, and support questions.
• D) Expand the connected data and feature scope first, while postponing governed definitions, decision rights, negative testing, and release evidence until adoption patterns become visible.</t>
  </si>
  <si>
    <t>Correct answer: A; explain why the other options are weaker and identify the production risk.</t>
  </si>
  <si>
    <t>Clarifies users, moments of need, decisions, actions, data, value measures, constraints, and an initial scope with explicit exclusions.</t>
  </si>
  <si>
    <t>Jumps directly to features, accepts vague success criteria, or ignores data availability and workflow ownership.</t>
  </si>
  <si>
    <t>Use-Case Discovery &amp; Acceptance Criteria — F01</t>
  </si>
  <si>
    <t>Practise converting a commercial workflow into user journeys, measurable acceptance criteria, data requirements, risks, and a phased delivery plan.</t>
  </si>
  <si>
    <t>Active</t>
  </si>
  <si>
    <t>Use-Case Discovery &amp; Acceptance Criteria</t>
  </si>
  <si>
    <t>Advanced</t>
  </si>
  <si>
    <t>Online assessment</t>
  </si>
  <si>
    <t>Yes</t>
  </si>
  <si>
    <t>AIBI-F01-002</t>
  </si>
  <si>
    <t>Scenario</t>
  </si>
  <si>
    <t>Translate a pre-call preparation workflow into a user journey for an account executive. What steps, inputs, outputs, and handoffs would you define before configuring Genie?</t>
  </si>
  <si>
    <t>What assumptions are you making?;How would you validate the recommendation?;What trade-off, failure condition, or stakeholder concern matters most?</t>
  </si>
  <si>
    <t>A sequenced journey from trigger to action, including personas, trusted data, key questions, response format, exceptions, and feedback capture.</t>
  </si>
  <si>
    <t>Describes only technical components or produces a generic chatbot flow disconnected from field behavior.</t>
  </si>
  <si>
    <t>Intermediate</t>
  </si>
  <si>
    <t>Either</t>
  </si>
  <si>
    <t>AIBI-F01-003</t>
  </si>
  <si>
    <t>Practical</t>
  </si>
  <si>
    <t>Write measurable acceptance criteria for a Genie experience that summarizes account performance, identifies risks, and recommends next actions.</t>
  </si>
  <si>
    <t>Testable criteria for correctness, completeness, freshness, citations, permissions, response time, usability, and actionability.</t>
  </si>
  <si>
    <t>Uses subjective criteria such as "good answers" without thresholds, test data, or accountable approvers.</t>
  </si>
  <si>
    <t>AIBI-F01-004</t>
  </si>
  <si>
    <t>Which is the strongest starting point for a commercial Genie use case?
• A) A named user, recurring decision, trusted data, measurable outcome, and defined action
• B) A broad list of possible questions gathered from several departments, with prioritization deferred until after the first pilot is complete
• C) A demonstration using the largest available dataset
• D) A prompt library copied from a similar company</t>
  </si>
  <si>
    <t>A named user, recurring decision, trusted data, measurable outcome, and defined action.</t>
  </si>
  <si>
    <t>Selects technology-first discovery or cannot explain how outcome measures affect scope.</t>
  </si>
  <si>
    <t>AIBI-F01-005</t>
  </si>
  <si>
    <t>Experience Probe</t>
  </si>
  <si>
    <t>Describe a time you converted an ambiguous analytics or AI request into a deliverable solution. What did you exclude, and why?</t>
  </si>
  <si>
    <t>Specific personal ownership, discovery evidence, scope decisions, trade-offs, acceptance criteria, and measurable outcome.</t>
  </si>
  <si>
    <t>Speaks only in team terms, cannot identify a decision made, or provides no evidence of outcome.</t>
  </si>
  <si>
    <t>Live assessor</t>
  </si>
  <si>
    <t>AIBI-F01-006</t>
  </si>
  <si>
    <t>Deep Dive</t>
  </si>
  <si>
    <t>How would you prioritize competing Genie use cases for planning, pre-call preparation, and field execution when data readiness differs across them?</t>
  </si>
  <si>
    <t>A transparent prioritization model balancing value, feasibility, risk, adoption, data quality, security, and time to evidence.</t>
  </si>
  <si>
    <t>Prioritizes only executive preference or technical ease and ignores adoption and governance dependencies.</t>
  </si>
  <si>
    <t>AIBI-G01-001</t>
  </si>
  <si>
    <t>G01</t>
  </si>
  <si>
    <t>Which response best addresses this assessment scenario? Explain what a Genie space is and which design decisions most influence the quality and consistency of its answers.
• A) Rely on a successful demonstration and senior stakeholder approval, then use early production feedback to resolve remaining data, security, performance, and support questions.
• B) Use a response that demonstrates: Covers scope, trusted data assets, business context, instructions, examples, semantic definitions, permissions, and iterative evaluation.
• C) Expand the connected data and feature scope first, while postponing governed definitions, decision rights, negative testing, and release evidence until adoption patterns become visible.
• D) Choose the fastest implementation path and defer formal validation, access testing, operational ownership, and measurable acceptance until users report a production problem.</t>
  </si>
  <si>
    <t>Correct answer: B; explain why the other options are weaker and identify the production risk.</t>
  </si>
  <si>
    <t>Covers scope, trusted data assets, business context, instructions, examples, semantic definitions, permissions, and iterative evaluation.</t>
  </si>
  <si>
    <t>Treats Genie as an unconstrained general chatbot or assumes model quality compensates for weak data and semantics.</t>
  </si>
  <si>
    <t>Genie Space Design &amp; Optimization — G01</t>
  </si>
  <si>
    <t>Build and critique a Genie space using representative questions, trusted assets, instructions, benchmarks, and iterative response-quality evaluation.</t>
  </si>
  <si>
    <t>Genie Space Design &amp; Optimization</t>
  </si>
  <si>
    <t>AIBI-G01-002</t>
  </si>
  <si>
    <t>You inherit a Genie space with inconsistent answers to revenue and pipeline questions. Describe your diagnostic and optimization sequence.</t>
  </si>
  <si>
    <t>Reproduces failures, checks question interpretation, metrics, joins, data freshness, instructions, examples, permissions, and regression results.</t>
  </si>
  <si>
    <t>Only rewrites prompts, changes many variables at once, or lacks a repeatable benchmark.</t>
  </si>
  <si>
    <t>AIBI-G01-003</t>
  </si>
  <si>
    <t>A Genie space answers correctly for analysts but confuses field users who use business shorthand. How would you improve it without creating uncontrolled synonyms?</t>
  </si>
  <si>
    <t>Uses curated terminology, descriptions, examples, validated phrasing, semantic alignment, and tests across representative personas.</t>
  </si>
  <si>
    <t>Adds unlimited aliases without governance or relies on users learning technical column names.</t>
  </si>
  <si>
    <t>AIBI-G01-004</t>
  </si>
  <si>
    <t>A Genie response is fluent but uses the wrong definition of active customer. What is the best first corrective action?
• A) Increase response creativity
• B) Add more dashboard screenshots
• C) Correct and certify the metric definition and retest representative questions
• D) Ask users to phrase questions more precisely and publish a detailed vocabulary guide before changing any governed metric definitions</t>
  </si>
  <si>
    <t>Correct answer: C; explain why the other options are weaker and identify the production risk.</t>
  </si>
  <si>
    <t>Correct and certify the metric definition and retest representative questions.</t>
  </si>
  <si>
    <t>Focuses on presentation instead of the semantic source of the error.</t>
  </si>
  <si>
    <t>AIBI-G01-005</t>
  </si>
  <si>
    <t>Architecture Case</t>
  </si>
  <si>
    <t>Design a Genie space for sales planning that must support regional leaders and account teams while keeping the experience focused and maintainable.</t>
  </si>
  <si>
    <t>Defines scoped domains, personas, trusted assets, semantic boundaries, reusable metrics, instructions, access patterns, evaluation sets, and ownership.</t>
  </si>
  <si>
    <t>Creates one oversized space for every user and domain or omits lifecycle ownership.</t>
  </si>
  <si>
    <t>AIBI-G01-006</t>
  </si>
  <si>
    <t>How would you decide whether to rework an existing Genie space or create a separate space for a new workflow?</t>
  </si>
  <si>
    <t>Evaluates persona overlap, data domain, metric consistency, question intent, security boundary, usability, ownership, and regression risk.</t>
  </si>
  <si>
    <t>Bases the decision only on implementation speed or duplicates definitions without governance.</t>
  </si>
  <si>
    <t>AIBI-G02-001</t>
  </si>
  <si>
    <t>G02</t>
  </si>
  <si>
    <t>Which response best addresses this assessment scenario? Why is a governed semantic layer critical for AI/BI and Genie, and what failures does it prevent?
• A) Expand the connected data and feature scope first, while postponing governed definitions, decision rights, negative testing, and release evidence until adoption patterns become visible.
• B) Choose the fastest implementation path and defer formal validation, access testing, operational ownership, and measurable acceptance until users report a production problem.
• C) Use a response that demonstrates: Explains consistent business definitions, metrics, relationships, discoverability, trust, reuse, traceability, and reduced ambiguity.
• D) Rely on a successful demonstration and senior stakeholder approval, then use early production feedback to resolve remaining data, security, performance, and support questions.</t>
  </si>
  <si>
    <t>Explains consistent business definitions, metrics, relationships, discoverability, trust, reuse, traceability, and reduced ambiguity.</t>
  </si>
  <si>
    <t>Equates the semantic layer only with friendly column names or ignores ownership and testing.</t>
  </si>
  <si>
    <t>Semantic Layer &amp; Data Quality — G02</t>
  </si>
  <si>
    <t>Create a governed semantic model with certified metrics, clear joins, business definitions, quality checks, and traceable source ownership.</t>
  </si>
  <si>
    <t>Semantic Layer &amp; Data Quality</t>
  </si>
  <si>
    <t>AIBI-G02-002</t>
  </si>
  <si>
    <t>Model the core entities and metrics needed for pre-call preparation using account, contact, opportunity, activity, product, and territory data.</t>
  </si>
  <si>
    <t>Clear grain, keys, joins, conformed dimensions, time logic, metric definitions, history handling, and data-quality assumptions.</t>
  </si>
  <si>
    <t>Creates ambiguous many-to-many joins, mixes grains, or cannot define metric time windows.</t>
  </si>
  <si>
    <t>AIBI-G02-003</t>
  </si>
  <si>
    <t>Two dashboards calculate pipeline coverage differently. Genie must provide one trusted answer. How do you resolve the conflict?</t>
  </si>
  <si>
    <t>Identifies owners and use contexts, reconciles definitions, documents the approved metric, versions changes, and tests downstream impact.</t>
  </si>
  <si>
    <t>Chooses one dashboard arbitrarily or hides disagreement in prompt instructions.</t>
  </si>
  <si>
    <t>AIBI-G02-004</t>
  </si>
  <si>
    <t>What most directly reduces ambiguous aggregation in a Genie-enabled semantic model?
• A) More descriptive chart titles
• B) Explicit grain, governed relationships, and certified metric logic
• C) Larger SQL warehouses
• D) More natural-language examples, prompt variations, and user training without changing model grain or relationship logic</t>
  </si>
  <si>
    <t>Explicit grain, governed relationships, and certified metric logic.</t>
  </si>
  <si>
    <t>Attributes semantic correctness mainly to compute or prompt volume.</t>
  </si>
  <si>
    <t>AIBI-G02-005</t>
  </si>
  <si>
    <t>How would you validate that a semantic model remains correct when source schemas, territory assignments, or business definitions change?</t>
  </si>
  <si>
    <t>Uses contracts, automated quality tests, metric reconciliation, lineage review, regression questions, versioning, and owner approval.</t>
  </si>
  <si>
    <t>Relies only on user-reported issues after release.</t>
  </si>
  <si>
    <t>AIBI-G02-006</t>
  </si>
  <si>
    <t>Incident</t>
  </si>
  <si>
    <t>After a territory reorganization, Genie returns duplicated revenue for some regions. Walk through root-cause analysis and remediation.</t>
  </si>
  <si>
    <t>Checks effective dating, joins, hierarchy mapping, row duplication, metric grain, impacted assets, backfill, regression tests, and communication.</t>
  </si>
  <si>
    <t>Applies DISTINCT as a blind fix or changes results without documenting impact.</t>
  </si>
  <si>
    <t>AIBI-A01-001</t>
  </si>
  <si>
    <t>A01</t>
  </si>
  <si>
    <t>Which response best addresses this assessment scenario? Define the target Databricks architecture for Genie solutions moving through development, QA, staging, and production.
• A) Choose the fastest implementation path and defer formal validation, access testing, operational ownership, and measurable acceptance until users report a production problem. This approach also leaves exception handling and accountable sign-off unresolved until after deployment.
• B) Rely on a successful demonstration and senior stakeholder approval, then use early production feedback to resolve remaining data, security, performance, and support questions.
• C) Expand the connected data and feature scope first, while postponing governed definitions, decision rights, negative testing, and release evidence until adoption patterns become visible.
• D) Use a response that demonstrates: Covers workspace strategy, catalogs and schemas, compute, source promotion, configuration, identity, secrets, network controls, CI/CD, monitoring, and ownership.</t>
  </si>
  <si>
    <t>Correct answer: D; explain why the other options are weaker and identify the production risk.</t>
  </si>
  <si>
    <t>Covers workspace strategy, catalogs and schemas, compute, source promotion, configuration, identity, secrets, network controls, CI/CD, monitoring, and ownership.</t>
  </si>
  <si>
    <t>Uses production data and permissions in all environments or omits promotion and rollback design.</t>
  </si>
  <si>
    <t>Target Architecture &amp; Environments — A01</t>
  </si>
  <si>
    <t>Produce a target-state Databricks architecture covering workspaces, catalogs, environments, dependencies, deployment paths, and operational ownership.</t>
  </si>
  <si>
    <t>Target Architecture &amp; Environments</t>
  </si>
  <si>
    <t>AIBI-A01-002</t>
  </si>
  <si>
    <t>The client has separate platform, data, security, and release teams. Show how responsibilities and interfaces should be reflected in the architecture.</t>
  </si>
  <si>
    <t>Provides clear component ownership, approval boundaries, service interfaces, escalation paths, and a workable operating model.</t>
  </si>
  <si>
    <t>Assumes one team controls everything or leaves operational ownership unresolved.</t>
  </si>
  <si>
    <t>AIBI-A01-003</t>
  </si>
  <si>
    <t>Which environment design best supports controlled promotion?
• A) Manual edits in production after user acceptance
• B) Shared development and production objects with different names, manually synchronized by the delivery team after each approved change
• C) Versioned configuration and code promoted through isolated environments with approvals
• D) A single workspace with access granted temporarily</t>
  </si>
  <si>
    <t>Versioned configuration and code promoted through isolated environments with approvals.</t>
  </si>
  <si>
    <t>Accepts manual production drift or weak environment isolation.</t>
  </si>
  <si>
    <t>AIBI-A01-004</t>
  </si>
  <si>
    <t>What Genie configuration elements must be treated as deployable artifacts, and how would you control drift?</t>
  </si>
  <si>
    <t>Identifies instructions, examples, asset references, permissions, SQL/metric definitions, environment variables, evaluation sets, and versioned approvals.</t>
  </si>
  <si>
    <t>Treats configuration as undocumented manual setup.</t>
  </si>
  <si>
    <t>AIBI-A01-005</t>
  </si>
  <si>
    <t>Create a production-readiness architecture checklist for a new Genie space.</t>
  </si>
  <si>
    <t>Includes data dependencies, scale, permissions, network, reliability, performance, observability, support, backup or recovery, and change management.</t>
  </si>
  <si>
    <t>Checklist focuses only on functional success in development.</t>
  </si>
  <si>
    <t>AIBI-A01-006</t>
  </si>
  <si>
    <t>Customer Simulation</t>
  </si>
  <si>
    <t>A client wants the fastest possible launch and proposes skipping staging. Explain the risk and offer a pragmatic alternative.</t>
  </si>
  <si>
    <t>Frames business impact, identifies minimum evidence, proposes time-boxed staged validation, defines exceptions, and preserves accountable approval.</t>
  </si>
  <si>
    <t>Responds dogmatically without alternatives or agrees without documenting residual risk.</t>
  </si>
  <si>
    <t>AIBI-S01-001</t>
  </si>
  <si>
    <t>S01</t>
  </si>
  <si>
    <t>Which response best addresses this assessment scenario? Design a Unity Catalog model for commercial data shared across regions, with sensitive customer attributes and centrally governed metrics.
• A) Use a response that demonstrates: Defines catalogs, schemas, ownership, groups, privileges, tags, row filters or masks, lineage, auditing, and controlled sharing.
• B) Rely on a successful demonstration and senior stakeholder approval, then use early production feedback to resolve remaining data, security, performance, and support questions.
• C) Expand the connected data and feature scope first, while postponing governed definitions, decision rights, negative testing, and release evidence until adoption patterns become visible.
• D) Choose the fastest implementation path and defer formal validation, access testing, operational ownership, and measurable acceptance until users report a production problem.</t>
  </si>
  <si>
    <t>Defines catalogs, schemas, ownership, groups, privileges, tags, row filters or masks, lineage, auditing, and controlled sharing.</t>
  </si>
  <si>
    <t>Grants broad workspace access, relies on table copies, or lacks ownership and auditability.</t>
  </si>
  <si>
    <t>Unity Catalog Governance — S01</t>
  </si>
  <si>
    <t>Design a Unity Catalog governance model with least privilege, ownership, lineage, auditing, catalog boundaries, and controlled data-product access.</t>
  </si>
  <si>
    <t>Unity Catalog Governance</t>
  </si>
  <si>
    <t>AIBI-S01-002</t>
  </si>
  <si>
    <t>Concept</t>
  </si>
  <si>
    <t>Explain the difference between workspace access, catalog access, schema use, and object privileges in a governed Genie solution.</t>
  </si>
  <si>
    <t>Shows layered authorization and how each permission affects discovery and query execution.</t>
  </si>
  <si>
    <t>Conflates workspace membership with data authorization.</t>
  </si>
  <si>
    <t>AIBI-S01-003</t>
  </si>
  <si>
    <t>What is the preferred basis for granting production data access?
• A) Direct grants to individual users, supported by quarterly manual reviews and locally maintained exception records
• B) Group-based least-privilege grants aligned to roles
• C) Shared administrator credentials
• D) Copies of sensitive tables in team schemas</t>
  </si>
  <si>
    <t>Group-based least-privilege grants aligned to roles.</t>
  </si>
  <si>
    <t>Chooses individual or shared-account administration without scalable governance.</t>
  </si>
  <si>
    <t>AIBI-S01-004</t>
  </si>
  <si>
    <t>A sales leader can discover a table but Genie cannot query it. How do you troubleshoot the authorization path?</t>
  </si>
  <si>
    <t>Checks effective identity, workspace entitlement, USE permissions, object privileges, compute access, policies, row filters, and audit logs.</t>
  </si>
  <si>
    <t>Adds broad grants without identifying the failed permission layer.</t>
  </si>
  <si>
    <t>AIBI-S01-005</t>
  </si>
  <si>
    <t>An audit finds that a broad group inherited access to restricted customer attributes. Describe containment, investigation, remediation, and evidence.</t>
  </si>
  <si>
    <t>Revokes exposure, preserves logs, identifies inheritance, assesses access, corrects groups and policies, retests, documents impact, and prevents recurrence.</t>
  </si>
  <si>
    <t>Only removes the user or cannot produce access evidence.</t>
  </si>
  <si>
    <t>AIBI-S01-006</t>
  </si>
  <si>
    <t>How would you balance centralized governance with domain-team ownership of commercial data products?</t>
  </si>
  <si>
    <t>Uses federated ownership within central standards, explicit stewardship, contracts, certification, lineage, monitoring, and escalation.</t>
  </si>
  <si>
    <t>Centralizes every change or allows uncontrolled domain-specific policies.</t>
  </si>
  <si>
    <t>AIBI-S02-001</t>
  </si>
  <si>
    <t>S02</t>
  </si>
  <si>
    <t>Which response best addresses this assessment scenario? Explain on-behalf-of authentication in the context of a Genie experience and why effective user identity matters.
• A) Expand the connected data and feature scope first, while postponing governed definitions, decision rights, negative testing, and release evidence until adoption patterns become visible. This approach also leaves exception handling and accountable sign-off unresolved until after deployment.
• B) Use a response that demonstrates: Explains delegated identity, token scope, downstream authorization, user-specific data enforcement, auditing, and avoidance of shared elevated identities.
• C) Choose the fastest implementation path and defer formal validation, access testing, operational ownership, and measurable acceptance until users report a production problem.
• D) Rely on a successful demonstration and senior stakeholder approval, then use early production feedback to resolve remaining data, security, performance, and support questions.</t>
  </si>
  <si>
    <t>Explains delegated identity, token scope, downstream authorization, user-specific data enforcement, auditing, and avoidance of shared elevated identities.</t>
  </si>
  <si>
    <t>Describes only login or proposes a service identity that bypasses user permissions.</t>
  </si>
  <si>
    <t>OBO Authentication &amp; Role Security — S02</t>
  </si>
  <si>
    <t>Implement and test an identity-to-data authorization design covering OBO flows, service principals, groups, row filters, column masks, and audit evidence.</t>
  </si>
  <si>
    <t>OBO Authentication &amp; Role Security</t>
  </si>
  <si>
    <t>AIBI-S02-002</t>
  </si>
  <si>
    <t>Design the identity and authorization flow from a user asking a question through to governed data access and response delivery.</t>
  </si>
  <si>
    <t>Traces authentication, OBO delegation, workspace and compute authorization, Unity Catalog evaluation, row or column policies, query execution, and audit records.</t>
  </si>
  <si>
    <t>Leaves identity changes implicit or cannot explain which principal accesses data.</t>
  </si>
  <si>
    <t>AIBI-S02-003</t>
  </si>
  <si>
    <t>Why is a shared service principal with broad data access risky for user-facing analytics?
• A) It increases SQL compilation time
• B) It can bypass user-level authorization and weaken attribution
• C) It prevents dashboards from refreshing
• D) It requires too many catalogs, schemas, warehouse policies, network rules, and environment-specific configuration steps</t>
  </si>
  <si>
    <t>It can bypass user-level authorization and weaken attribution.</t>
  </si>
  <si>
    <t>Focuses on performance rather than authorization and audit risk.</t>
  </si>
  <si>
    <t>AIBI-S02-004</t>
  </si>
  <si>
    <t>Define tests that prove row-level security works for regional sales roles in Genie.</t>
  </si>
  <si>
    <t>Uses positive and negative personas, boundary records, hierarchy changes, direct-query comparison, denied cases, audit validation, and regression automation.</t>
  </si>
  <si>
    <t>Tests only one permitted user or checks UI visibility without query results.</t>
  </si>
  <si>
    <t>AIBI-S02-005</t>
  </si>
  <si>
    <t>A manager temporarily covers two regions. How would you implement and govern access without hardcoding exceptions into prompts?</t>
  </si>
  <si>
    <t>Uses authoritative group or entitlement changes, time-bounded approval, policy-driven access, audit trails, and expiry validation.</t>
  </si>
  <si>
    <t>Creates manual data copies or embeds identity logic in natural-language instructions.</t>
  </si>
  <si>
    <t>AIBI-S02-006</t>
  </si>
  <si>
    <t>A user receives an answer containing a restricted field even though the source table has column masking. How do you investigate?</t>
  </si>
  <si>
    <t>Checks effective identity, query path, alternate sources, cached outputs, derived columns, policy scope, lineage, logs, containment, and regression tests.</t>
  </si>
  <si>
    <t>Assumes the mask is sufficient or deletes the response without root-cause analysis.</t>
  </si>
  <si>
    <t>AIBI-Q01-001</t>
  </si>
  <si>
    <t>Q01</t>
  </si>
  <si>
    <t>Which response best addresses this assessment scenario? Create a test strategy for a Genie space before QA sign-off.
• A) Choose the fastest implementation path and defer formal validation, access testing, operational ownership, and measurable acceptance until users report a production problem. This approach also leaves exception handling and accountable sign-off unresolved until after deployment.
• B) Rely on a successful demonstration and senior stakeholder approval, then use early production feedback to resolve remaining data, security, performance, and support questions.
• C) Use a response that demonstrates: Defines golden questions, expected facts, semantic variants, negative tests, permissions, freshness, performance, citations, usability, regression, severity, and approval.
• D) Expand the connected data and feature scope first, while postponing governed definitions, decision rights, negative testing, and release evidence until adoption patterns become visible.</t>
  </si>
  <si>
    <t>Defines golden questions, expected facts, semantic variants, negative tests, permissions, freshness, performance, citations, usability, regression, severity, and approval.</t>
  </si>
  <si>
    <t>Relies on ad hoc demonstrations or tests only happy-path questions.</t>
  </si>
  <si>
    <t>QA, Evaluation &amp; Test Evidence — Q01</t>
  </si>
  <si>
    <t>Create a QA pack with golden questions, expected outputs, permissions tests, performance thresholds, regression criteria, defects, and signed evidence.</t>
  </si>
  <si>
    <t>QA, Evaluation &amp; Test Evidence</t>
  </si>
  <si>
    <t>AIBI-Q01-002</t>
  </si>
  <si>
    <t>A response is factually correct but too verbose for field users. How should this be captured, tested, and resolved?</t>
  </si>
  <si>
    <t>Separates correctness from experience criteria, records reproducible evidence, updates instructions or format, and regression-tests user variants.</t>
  </si>
  <si>
    <t>Marks the test passed because the number is correct or changes output without a documented criterion.</t>
  </si>
  <si>
    <t>AIBI-Q01-003</t>
  </si>
  <si>
    <t>Which test set best supports reliable regression testing?
• A) Only questions that previously passed
• B) A representative versioned set with expected results, variants, edge cases, and permission personas
• C) Questions selected by the developer on release day, expanded with recent examples but without versioned expected outcomes or permission personas
• D) The ten most common dashboard filters</t>
  </si>
  <si>
    <t>A representative versioned set with expected results, variants, edge cases, and permission personas.</t>
  </si>
  <si>
    <t>Uses an unversioned or non-representative test sample.</t>
  </si>
  <si>
    <t>AIBI-Q01-004</t>
  </si>
  <si>
    <t>How would you measure response quality when some business questions have multiple acceptable phrasings but one governed answer?</t>
  </si>
  <si>
    <t>Defines factual ground truth, semantic equivalence, required elements, prohibited claims, citations, tolerance, reviewer roles, and repeatable scoring.</t>
  </si>
  <si>
    <t>Uses only subjective thumbs-up feedback or exact text matching.</t>
  </si>
  <si>
    <t>AIBI-Q01-005</t>
  </si>
  <si>
    <t>A staging release passes functional tests but response latency doubles under realistic concurrency. What do you do before launch?</t>
  </si>
  <si>
    <t>Reproduces load, isolates query and compute bottlenecks, checks caching and warehouse sizing, sets thresholds, remediates, retests, and records residual risk.</t>
  </si>
  <si>
    <t>Approves release based on low-volume tests or scales compute without diagnosis.</t>
  </si>
  <si>
    <t>AIBI-Q01-006</t>
  </si>
  <si>
    <t>Describe a QA or release defect you found late. How did you assess severity, communicate it, and prevent recurrence?</t>
  </si>
  <si>
    <t>Shows evidence-based triage, stakeholder communication, decision ownership, root cause, corrective action, and improved controls.</t>
  </si>
  <si>
    <t>Cannot distinguish symptom from cause or provides no process improvement.</t>
  </si>
  <si>
    <t>AIBI-R01-001</t>
  </si>
  <si>
    <t>R01</t>
  </si>
  <si>
    <t>Which response best addresses this assessment scenario? Outline the release path for promoting a validated Genie solution from staging to production.
• A) Rely on a successful demonstration and senior stakeholder approval, then use early production feedback to resolve remaining data, security, performance, and support questions. This approach also leaves exception handling and accountable sign-off unresolved until after deployment.
• B) Expand the connected data and feature scope first, while postponing governed definitions, decision rights, negative testing, and release evidence until adoption patterns become visible.
• C) Choose the fastest implementation path and defer formal validation, access testing, operational ownership, and measurable acceptance until users report a production problem.
• D) Use a response that demonstrates: Includes versioned artifacts, approvals, segregation of duties, data and permission checks, deployment automation, smoke tests, rollback, communication, and sign-off.</t>
  </si>
  <si>
    <t>Includes versioned artifacts, approvals, segregation of duties, data and permission checks, deployment automation, smoke tests, rollback, communication, and sign-off.</t>
  </si>
  <si>
    <t>Depends on manual recreation or has no rollback and validation plan.</t>
  </si>
  <si>
    <t>Release &amp; Production Readiness — R01</t>
  </si>
  <si>
    <t>Build a release-readiness checklist covering configuration promotion, approvals, rollback, monitoring, support, change control, and post-release validation.</t>
  </si>
  <si>
    <t>Release &amp; Production Readiness</t>
  </si>
  <si>
    <t>AIBI-R01-002</t>
  </si>
  <si>
    <t>What is the strongest evidence of production readiness?
• A) A successful executive demonstration using representative questions, supported by positive stakeholder feedback but without completed security or rollback evidence
• B) Completed functional, security, performance, operational, and rollback checks with named approvals
• C) No open development tickets
• D) The production workspace is available</t>
  </si>
  <si>
    <t>Completed functional, security, performance, operational, and rollback checks with named approvals.</t>
  </si>
  <si>
    <t>Equates demonstration success or schedule completion with readiness.</t>
  </si>
  <si>
    <t>AIBI-R01-003</t>
  </si>
  <si>
    <t>Define a rollback plan for a Genie release that changes instructions, semantic definitions, and permissions.</t>
  </si>
  <si>
    <t>Identifies versioned restore points, dependency order, data impact, access restoration, validation, communications, decision authority, and time limits.</t>
  </si>
  <si>
    <t>Says "revert the changes" without dependencies, evidence, or ownership.</t>
  </si>
  <si>
    <t>AIBI-R01-004</t>
  </si>
  <si>
    <t>After production deployment, a key metric differs from staging. Lead the first hour of response.</t>
  </si>
  <si>
    <t>Contains impact, pauses risky use, compares versions and data, checks environment drift and permissions, communicates status, decides rollback, and preserves evidence.</t>
  </si>
  <si>
    <t>Debugs silently, changes production directly, or cannot define business impact.</t>
  </si>
  <si>
    <t>AIBI-R01-005</t>
  </si>
  <si>
    <t>What monitoring and operational metrics would you require after launch?</t>
  </si>
  <si>
    <t>Covers usage, adoption, failures, latency, query cost, data freshness, permission denials, quality feedback, drift, incidents, and support SLAs.</t>
  </si>
  <si>
    <t>Monitors only system uptime or warehouse utilization.</t>
  </si>
  <si>
    <t>AIBI-R01-006</t>
  </si>
  <si>
    <t>A release manager refuses launch because two low-severity defects remain. Present a go/no-go recommendation.</t>
  </si>
  <si>
    <t>Uses severity, user impact, workaround, exposure, acceptance criteria, owners, dates, residual risk, and accountable approval.</t>
  </si>
  <si>
    <t>Pressures the release manager or labels defects minor without evidence.</t>
  </si>
  <si>
    <t>AIBI-C01-001</t>
  </si>
  <si>
    <t>C01</t>
  </si>
  <si>
    <t>Which response best addresses this assessment scenario? Design a pre-call preparation experience for a representative preparing for a customer meeting in five minutes.
• A) Use a response that demonstrates: Prioritizes concise account context, recent activity, opportunities, risks, stakeholders, recommended questions, citations, and clear next actions.
• B) Expand the connected data and feature scope first, while postponing governed definitions, decision rights, negative testing, and release evidence until adoption patterns become visible.
• C) Choose the fastest implementation path and defer formal validation, access testing, operational ownership, and measurable acceptance until users report a production problem.
• D) Rely on a successful demonstration and senior stakeholder approval, then use early production feedback to resolve remaining data, security, performance, and support questions.</t>
  </si>
  <si>
    <t>Prioritizes concise account context, recent activity, opportunities, risks, stakeholders, recommended questions, citations, and clear next actions.</t>
  </si>
  <si>
    <t>Returns a long data dump or includes unverified recommendations without source context.</t>
  </si>
  <si>
    <t>Commercial Workflows &amp; User Experience — C01</t>
  </si>
  <si>
    <t>Map planning, pre-call, and field-execution journeys to actionable Genie experiences, adoption measures, feedback loops, and business outcomes.</t>
  </si>
  <si>
    <t>Commercial Workflows &amp; User Experience</t>
  </si>
  <si>
    <t>AIBI-C01-002</t>
  </si>
  <si>
    <t>Define the data and response design for a field-execution workflow that helps a manager identify accounts needing intervention.</t>
  </si>
  <si>
    <t>Defines actionable signals, thresholds, ranking, ownership, drill paths, freshness, access, explanations, and feedback capture.</t>
  </si>
  <si>
    <t>Creates a generic summary without prioritization or accountable action.</t>
  </si>
  <si>
    <t>AIBI-C01-003</t>
  </si>
  <si>
    <t>Which measure best demonstrates that a Genie workflow creates business value?
• A) Number of governed tables connected across all commercial domains, regardless of whether users take a different action or improve an outcome
• B) Number of prompt examples
• C) Improved decision speed or quality linked to user action and outcome
• D) Total response word count</t>
  </si>
  <si>
    <t>Improved decision speed or quality linked to user action and outcome.</t>
  </si>
  <si>
    <t>Uses technical activity as a substitute for workflow outcome.</t>
  </si>
  <si>
    <t>AIBI-C01-004</t>
  </si>
  <si>
    <t>A sales director says Genie gives interesting insights but the team still returns to spreadsheets. Diagnose the adoption problem.</t>
  </si>
  <si>
    <t>Explores trust, workflow fit, missing actions, usability, data freshness, incentives, training, feedback, and integration into existing routines.</t>
  </si>
  <si>
    <t>Assumes resistance to change or proposes more training without diagnosis.</t>
  </si>
  <si>
    <t>AIBI-C01-005</t>
  </si>
  <si>
    <t>How would you prevent recommended next actions from becoming unsupported or risky advice?</t>
  </si>
  <si>
    <t>Uses governed rules or evidence, transparent rationale, confidence and limits, citations, human decision points, monitoring, and escalation.</t>
  </si>
  <si>
    <t>Presents generated recommendations as authoritative without controls.</t>
  </si>
  <si>
    <t>AIBI-C01-006</t>
  </si>
  <si>
    <t>Describe a solution you changed after observing how users actually worked. What evidence drove the redesign?</t>
  </si>
  <si>
    <t>Shows user research, observed friction, changed design, validation, adoption or outcome metrics, and lessons learned.</t>
  </si>
  <si>
    <t>Provides only stakeholder opinions or no measurable post-change evidence.</t>
  </si>
  <si>
    <t>AIBI-D01-001</t>
  </si>
  <si>
    <t>D01</t>
  </si>
  <si>
    <t>Which response best addresses this assessment scenario? Present a three-minute executive overview of a proposed Genie solution, including value, scope, architecture, risk, evidence, and next decision.
• A) Choose the fastest implementation path and defer formal validation, access testing, operational ownership, and measurable acceptance until users report a production problem.
• B) Use a response that demonstrates: Clear audience-appropriate narrative with quantified or testable value, boundaries, material risks, evidence plan, and decision request.
• C) Rely on a successful demonstration and senior stakeholder approval, then use early production feedback to resolve remaining data, security, performance, and support questions.
• D) Expand the connected data and feature scope first, while postponing governed definitions, decision rights, negative testing, and release evidence until adoption patterns become visible.</t>
  </si>
  <si>
    <t>Clear audience-appropriate narrative with quantified or testable value, boundaries, material risks, evidence plan, and decision request.</t>
  </si>
  <si>
    <t>Uses excessive platform jargon or cannot state the decision needed.</t>
  </si>
  <si>
    <t>Consulting, Documentation &amp; Handover — D01</t>
  </si>
  <si>
    <t>Prepare an executive recommendation, architecture pack, decision log, runbook, test evidence, and stakeholder handover for a production launch.</t>
  </si>
  <si>
    <t>Consulting, Documentation &amp; Handover</t>
  </si>
  <si>
    <t>AIBI-D01-002</t>
  </si>
  <si>
    <t>What documents must be complete before operational handover of a Genie solution?</t>
  </si>
  <si>
    <t>Architecture, configuration inventory, access model, data definitions, test evidence, deployment steps, monitoring, runbook, support model, known limitations, and ownership.</t>
  </si>
  <si>
    <t>Provides only a design diagram or leaves support and change procedures undocumented.</t>
  </si>
  <si>
    <t>AIBI-D01-003</t>
  </si>
  <si>
    <t>Business, data, security, and release stakeholders disagree on launch readiness. How do you drive a decision?</t>
  </si>
  <si>
    <t>Creates a shared evidence view, maps concerns to criteria and owners, resolves facts, records exceptions, escalates decisions, and documents approval.</t>
  </si>
  <si>
    <t>Seeks consensus without criteria or bypasses dissenting control owners.</t>
  </si>
  <si>
    <t>AIBI-D01-004</t>
  </si>
  <si>
    <t>What makes an architecture decision record useful?
• A) It lists all meeting attendees
• B) It records context, options, decision, rationale, consequences, owner, and date
• C) It contains the final diagram and a detailed inventory of components, but does not record the decision context, rejected options, or consequences
• D) It is written after production release</t>
  </si>
  <si>
    <t>It records context, options, decision, rationale, consequences, owner, and date.</t>
  </si>
  <si>
    <t>Treats documentation as a retrospective formality rather than decision evidence.</t>
  </si>
  <si>
    <t>AIBI-D01-005</t>
  </si>
  <si>
    <t>Describe a time you challenged a client or senior stakeholder on a risky solution decision. How did you preserve trust?</t>
  </si>
  <si>
    <t>Shows fact-based challenge, stakeholder understanding, alternatives, trade-offs, evidence, documented decision, and relationship outcome.</t>
  </si>
  <si>
    <t>Claims compliance without challenge or describes confrontation without constructive alternatives.</t>
  </si>
  <si>
    <t>AIBI-D01-006</t>
  </si>
  <si>
    <t>How would you structure a handover so the client can safely operate, support, and improve the Genie solution without the delivery team?</t>
  </si>
  <si>
    <t>Defines role-based training, runbooks, access, monitoring, incident drills, change process, backlog, knowledge checks, shadow support, and acceptance.</t>
  </si>
  <si>
    <t>Relies on a final presentation or leaves key knowledge with individuals.</t>
  </si>
  <si>
    <t>AIBI-F01-007</t>
  </si>
  <si>
    <t>Which artifact should close use-case discovery before Genie configuration begins?
• A) Expand the connected data and feature scope first, while postponing governed definitions, decision rights, negative testing, and release evidence until adoption patterns become visible.
• B) An approved brief connecting persona, recurring decision, action, trusted data, acceptance measures, risks, and exclusions.
• C) Choose the fastest implementation path and defer formal validation, access testing, operational ownership, and measurable acceptance until users report a production problem.
• D) Rely on a successful demonstration and senior stakeholder approval, then use early production feedback to resolve remaining data, security, performance, and support questions.</t>
  </si>
  <si>
    <t>An approved brief connecting persona, recurring decision, action, trusted data, acceptance measures, risks, and exclusions.</t>
  </si>
  <si>
    <t>Selects a delivery shortcut that defers governed definitions, representative validation, security evidence, operational ownership, or accountable approval.</t>
  </si>
  <si>
    <t>AIBI-F01-008</t>
  </si>
  <si>
    <t>How should competing planning, pre-call, and field-execution use cases be prioritized?
• A) Choose the fastest implementation path and defer formal validation, access testing, operational ownership, and measurable acceptance until users report a production problem.
• B) Rely on a successful demonstration and senior stakeholder approval, then use early production feedback to resolve remaining data, security, performance, and support questions.
• C) Use an agreed scoring model covering business value, workflow frequency, data readiness, security risk, adoption effort, and time to evidence.
• D) Expand the connected data and feature scope first, while postponing governed definitions, decision rights, negative testing, and release evidence until adoption patterns become visible.</t>
  </si>
  <si>
    <t>Use an agreed scoring model covering business value, workflow frequency, data readiness, security risk, adoption effort, and time to evidence.</t>
  </si>
  <si>
    <t>AIBI-F01-009</t>
  </si>
  <si>
    <t>A stakeholder requests a new persona after scope approval. What should happen first?
• A) Rely on a successful demonstration and senior stakeholder approval, then use early production feedback to resolve remaining data, security, performance, and support questions.
• B) Expand the connected data and feature scope first, while postponing governed definitions, decision rights, negative testing, and release evidence until adoption patterns become visible.
• C) Choose the fastest implementation path and defer formal validation, access testing, operational ownership, and measurable acceptance until users report a production problem.
• D) Assess the impact on decisions, data, permissions, semantics, testing, ownership, timeline, and approved scope.</t>
  </si>
  <si>
    <t>Assess the impact on decisions, data, permissions, semantics, testing, ownership, timeline, and approved scope.</t>
  </si>
  <si>
    <t>AIBI-F01-010</t>
  </si>
  <si>
    <t>What evidence most strongly supports scaling a Genie pilot?
• A) Representative users repeatedly meet defined quality, security, performance, usability, and workflow-outcome criteria.
• B) Expand the connected data and feature scope first, while postponing governed definitions, decision rights, negative testing, and release evidence until adoption patterns become visible.
• C) Choose the fastest implementation path and defer formal validation, access testing, operational ownership, and measurable acceptance until users report a production problem.
• D) Rely on a successful demonstration and senior stakeholder approval, then use early production feedback to resolve remaining data, security, performance, and support questions.</t>
  </si>
  <si>
    <t>Representative users repeatedly meet defined quality, security, performance, usability, and workflow-outcome criteria.</t>
  </si>
  <si>
    <t>AIBI-G01-007</t>
  </si>
  <si>
    <t>A Genie space answers pipeline questions inconsistently. What is the best first action?
• A) Choose the fastest implementation path and defer formal validation, access testing, operational ownership, and measurable acceptance until users report a production problem.
• B) Rely on a successful demonstration and senior stakeholder approval, then use early production feedback to resolve remaining data, security, performance, and support questions.
• C) Reproduce the failures against a versioned benchmark and trace semantic logic, assets, instructions, data, permissions, and environment differences.
• D) Expand the connected data and feature scope first, while postponing governed definitions, decision rights, negative testing, and release evidence until adoption patterns become visible.</t>
  </si>
  <si>
    <t>Reproduce the failures against a versioned benchmark and trace semantic logic, assets, instructions, data, permissions, and environment differences.</t>
  </si>
  <si>
    <t>AIBI-G01-008</t>
  </si>
  <si>
    <t>When is a Genie instruction preferable to changing the semantic model?
• A) Rely on a successful demonstration and senior stakeholder approval, then use early production feedback to resolve remaining data, security, performance, and support questions.
• B) Expand the connected data and feature scope first, while postponing governed definitions, decision rights, negative testing, and release evidence until adoption patterns become visible.
• C) Choose the fastest implementation path and defer formal validation, access testing, operational ownership, and measurable acceptance until users report a production problem.
• D) When guiding response behavior or interpretation without replacing governed metric, grain, relationship, or security logic.</t>
  </si>
  <si>
    <t>When guiding response behavior or interpretation without replacing governed metric, grain, relationship, or security logic.</t>
  </si>
  <si>
    <t>AIBI-G01-009</t>
  </si>
  <si>
    <t>What most strongly justifies creating a separate Genie space?
• A) Material differences in persona, decision domain, semantic scope, security boundary, evaluation set, or operational ownership.
• B) Expand the connected data and feature scope first, while postponing governed definitions, decision rights, negative testing, and release evidence until adoption patterns become visible.
• C) Choose the fastest implementation path and defer formal validation, access testing, operational ownership, and measurable acceptance until users report a production problem.
• D) Rely on a successful demonstration and senior stakeholder approval, then use early production feedback to resolve remaining data, security, performance, and support questions.</t>
  </si>
  <si>
    <t>Material differences in persona, decision domain, semantic scope, security boundary, evaluation set, or operational ownership.</t>
  </si>
  <si>
    <t>AIBI-G01-010</t>
  </si>
  <si>
    <t>What is required after optimizing a Genie space and before promotion?
• A) Choose the fastest implementation path and defer formal validation, access testing, operational ownership, and measurable acceptance until users report a production problem.
• B) Regression testing across representative questions, variants, prior passes, permissions, performance, and approved acceptance criteria.
• C) Rely on a successful demonstration and senior stakeholder approval, then use early production feedback to resolve remaining data, security, performance, and support questions.
• D) Expand the connected data and feature scope first, while postponing governed definitions, decision rights, negative testing, and release evidence until adoption patterns become visible.</t>
  </si>
  <si>
    <t>Regression testing across representative questions, variants, prior passes, permissions, performance, and approved acceptance criteria.</t>
  </si>
  <si>
    <t>AIBI-G02-007</t>
  </si>
  <si>
    <t>After territory changes, regional revenue is duplicated. What should be tested first?
• A) Rely on a successful demonstration and senior stakeholder approval, then use early production feedback to resolve remaining data, security, performance, and support questions.
• B) Expand the connected data and feature scope first, while postponing governed definitions, decision rights, negative testing, and release evidence until adoption patterns become visible.
• C) Choose the fastest implementation path and defer formal validation, access testing, operational ownership, and measurable acceptance until users report a production problem.
• D) Whether effective-dated territory relationships create multiple fact matches at the governed revenue grain.</t>
  </si>
  <si>
    <t>Whether effective-dated territory relationships create multiple fact matches at the governed revenue grain.</t>
  </si>
  <si>
    <t>AIBI-G02-008</t>
  </si>
  <si>
    <t>Two dashboards use different pipeline-coverage definitions. What should Genie use?
• A) A reconciled, approved, owned, versioned definition with intended context and downstream impact validation.
• B) Expand the connected data and feature scope first, while postponing governed definitions, decision rights, negative testing, and release evidence until adoption patterns become visible.
• C) Choose the fastest implementation path and defer formal validation, access testing, operational ownership, and measurable acceptance until users report a production problem.
• D) Rely on a successful demonstration and senior stakeholder approval, then use early production feedback to resolve remaining data, security, performance, and support questions.</t>
  </si>
  <si>
    <t>A reconciled, approved, owned, versioned definition with intended context and downstream impact validation.</t>
  </si>
  <si>
    <t>AIBI-G02-009</t>
  </si>
  <si>
    <t>Which modeling practice most directly prevents accidental double counting?
• A) Choose the fastest implementation path and defer formal validation, access testing, operational ownership, and measurable acceptance until users report a production problem.
• B) Explicit fact grain, governed relationships, validated join cardinality, and measures designed for consistent aggregation.
• C) Rely on a successful demonstration and senior stakeholder approval, then use early production feedback to resolve remaining data, security, performance, and support questions.
• D) Expand the connected data and feature scope first, while postponing governed definitions, decision rights, negative testing, and release evidence until adoption patterns become visible.</t>
  </si>
  <si>
    <t>Explicit fact grain, governed relationships, validated join cardinality, and measures designed for consistent aggregation.</t>
  </si>
  <si>
    <t>AIBI-G02-010</t>
  </si>
  <si>
    <t>How should historical territory attribution be supported?
• A) Rely on a successful demonstration and senior stakeholder approval, then use early production feedback to resolve remaining data, security, performance, and support questions.
• B) Expand the connected data and feature scope first, while postponing governed definitions, decision rights, negative testing, and release evidence until adoption patterns become visible.
• C) Use effective-dated relationships and an approved business rule defining which territory applies for each analysis period.
• D) Choose the fastest implementation path and defer formal validation, access testing, operational ownership, and measurable acceptance until users report a production problem.</t>
  </si>
  <si>
    <t>Use effective-dated relationships and an approved business rule defining which territory applies for each analysis period.</t>
  </si>
  <si>
    <t>AIBI-A01-007</t>
  </si>
  <si>
    <t>Which deployment pattern best controls movement through development, QA, staging, and production?
• A) Promote versioned artifacts through isolated environments with controlled configuration, approvals, validation, and rollback.
• B) Expand the connected data and feature scope first, while postponing governed definitions, decision rights, negative testing, and release evidence until adoption patterns become visible.
• C) Choose the fastest implementation path and defer formal validation, access testing, operational ownership, and measurable acceptance until users report a production problem.
• D) Rely on a successful demonstration and senior stakeholder approval, then use early production feedback to resolve remaining data, security, performance, and support questions.</t>
  </si>
  <si>
    <t>Promote versioned artifacts through isolated environments with controlled configuration, approvals, validation, and rollback.</t>
  </si>
  <si>
    <t>AIBI-A01-008</t>
  </si>
  <si>
    <t>How should environment-specific values be managed?
• A) Choose the fastest implementation path and defer formal validation, access testing, operational ownership, and measurable acceptance until users report a production problem.
• B) Separate them from core logic and inject controlled configuration through the approved deployment process.
• C) Rely on a successful demonstration and senior stakeholder approval, then use early production feedback to resolve remaining data, security, performance, and support questions.
• D) Expand the connected data and feature scope first, while postponing governed definitions, decision rights, negative testing, and release evidence until adoption patterns become visible.</t>
  </si>
  <si>
    <t>Separate them from core logic and inject controlled configuration through the approved deployment process.</t>
  </si>
  <si>
    <t>AIBI-A01-009</t>
  </si>
  <si>
    <t>The client proposes skipping staging. What is the strongest response?
• A) Rely on a successful demonstration and senior stakeholder approval, then use early production feedback to resolve remaining data, security, performance, and support questions.
• B) Expand the connected data and feature scope first, while postponing governed definitions, decision rights, negative testing, and release evidence until adoption patterns become visible.
• C) Define minimum representative evidence, time-box validation, document residual risk, and require accountable exception approval.
• D) Choose the fastest implementation path and defer formal validation, access testing, operational ownership, and measurable acceptance until users report a production problem.</t>
  </si>
  <si>
    <t>Define minimum representative evidence, time-box validation, document residual risk, and require accountable exception approval.</t>
  </si>
  <si>
    <t>AIBI-A01-010</t>
  </si>
  <si>
    <t>What is essential when architecture spans business, data, platform, security, and release teams?
• A) Expand the connected data and feature scope first, while postponing governed definitions, decision rights, negative testing, and release evidence until adoption patterns become visible.
• B) Choose the fastest implementation path and defer formal validation, access testing, operational ownership, and measurable acceptance until users report a production problem.
• C) Rely on a successful demonstration and senior stakeholder approval, then use early production feedback to resolve remaining data, security, performance, and support questions.
• D) Explicit component ownership, interfaces, approvals, escalation paths, operational responsibilities, and decision rights.</t>
  </si>
  <si>
    <t>Explicit component ownership, interfaces, approvals, escalation paths, operational responsibilities, and decision rights.</t>
  </si>
  <si>
    <t>AIBI-S01-007</t>
  </si>
  <si>
    <t>What is the strongest default access model for commercial Genie data?
• A) Choose the fastest implementation path and defer formal validation, access testing, operational ownership, and measurable acceptance until users report a production problem.
• B) Role-aligned groups with least-privilege Unity Catalog permissions, named ownership, policy enforcement, and auditability.
• C) Rely on a successful demonstration and senior stakeholder approval, then use early production feedback to resolve remaining data, security, performance, and support questions.
• D) Expand the connected data and feature scope first, while postponing governed definitions, decision rights, negative testing, and release evidence until adoption patterns become visible.</t>
  </si>
  <si>
    <t>Role-aligned groups with least-privilege Unity Catalog permissions, named ownership, policy enforcement, and auditability.</t>
  </si>
  <si>
    <t>AIBI-S01-008</t>
  </si>
  <si>
    <t>A user can discover a table but cannot query it. What should be checked?
• A) Rely on a successful demonstration and senior stakeholder approval, then use early production feedback to resolve remaining data, security, performance, and support questions.
• B) Expand the connected data and feature scope first, while postponing governed definitions, decision rights, negative testing, and release evidence until adoption patterns become visible.
• C) The effective identity and every required workspace, compute, catalog, schema, object, and policy permission in the authorization path.
• D) Choose the fastest implementation path and defer formal validation, access testing, operational ownership, and measurable acceptance until users report a production problem.</t>
  </si>
  <si>
    <t>The effective identity and every required workspace, compute, catalog, schema, object, and policy permission in the authorization path.</t>
  </si>
  <si>
    <t>AIBI-S01-009</t>
  </si>
  <si>
    <t>An audit identifies inherited access to restricted attributes. What is the correct response?
• A) Expand the connected data and feature scope first, while postponing governed definitions, decision rights, negative testing, and release evidence until adoption patterns become visible.
• B) Choose the fastest implementation path and defer formal validation, access testing, operational ownership, and measurable acceptance until users report a production problem.
• C) Rely on a successful demonstration and senior stakeholder approval, then use early production feedback to resolve remaining data, security, performance, and support questions.
• D) Contain exposure, preserve evidence, assess impact, identify inheritance, remediate policy and groups, retest, and prevent recurrence.</t>
  </si>
  <si>
    <t>Contain exposure, preserve evidence, assess impact, identify inheritance, remediate policy and groups, retest, and prevent recurrence.</t>
  </si>
  <si>
    <t>AIBI-S01-010</t>
  </si>
  <si>
    <t>How should domain ownership coexist with central governance?
• A) Domain teams own products within enterprise standards for stewardship, contracts, certification, access, lineage, monitoring, and escalation.
• B) Choose the fastest implementation path and defer formal validation, access testing, operational ownership, and measurable acceptance until users report a production problem.
• C) Rely on a successful demonstration and senior stakeholder approval, then use early production feedback to resolve remaining data, security, performance, and support questions.
• D) Expand the connected data and feature scope first, while postponing governed definitions, decision rights, negative testing, and release evidence until adoption patterns become visible.</t>
  </si>
  <si>
    <t>Domain teams own products within enterprise standards for stewardship, contracts, certification, access, lineage, monitoring, and escalation.</t>
  </si>
  <si>
    <t>AIBI-S02-007</t>
  </si>
  <si>
    <t>Why is effective user identity essential in an on-behalf-of flow?
• A) Rely on a successful demonstration and senior stakeholder approval, then use early production feedback to resolve remaining data, security, performance, and support questions.
• B) Expand the connected data and feature scope first, while postponing governed definitions, decision rights, negative testing, and release evidence until adoption patterns become visible.
• C) It ensures downstream authorization, row and column policies, and audit attribution reflect the requesting user.
• D) Choose the fastest implementation path and defer formal validation, access testing, operational ownership, and measurable acceptance until users report a production problem.</t>
  </si>
  <si>
    <t>It ensures downstream authorization, row and column policies, and audit attribution reflect the requesting user.</t>
  </si>
  <si>
    <t>AIBI-S02-008</t>
  </si>
  <si>
    <t>What is the strongest test design for regional row-level security?
• A) Expand the connected data and feature scope first, while postponing governed definitions, decision rights, negative testing, and release evidence until adoption patterns become visible.
• B) Choose the fastest implementation path and defer formal validation, access testing, operational ownership, and measurable acceptance until users report a production problem.
• C) Rely on a successful demonstration and senior stakeholder approval, then use early production feedback to resolve remaining data, security, performance, and support questions.
• D) Use permitted, denied, boundary, changed-role, and hierarchy personas; compare source results; and verify audit evidence.</t>
  </si>
  <si>
    <t>Use permitted, denied, boundary, changed-role, and hierarchy personas; compare source results; and verify audit evidence.</t>
  </si>
  <si>
    <t>AIBI-S02-009</t>
  </si>
  <si>
    <t>A manager temporarily covers two regions. How should access be provided?
• A) Use an approved time-bounded entitlement enforced by policy, with audit records, ownership, and automatic expiry.
• B) Choose the fastest implementation path and defer formal validation, access testing, operational ownership, and measurable acceptance until users report a production problem.
• C) Rely on a successful demonstration and senior stakeholder approval, then use early production feedback to resolve remaining data, security, performance, and support questions.
• D) Expand the connected data and feature scope first, while postponing governed definitions, decision rights, negative testing, and release evidence until adoption patterns become visible.</t>
  </si>
  <si>
    <t>Use an approved time-bounded entitlement enforced by policy, with audit records, ownership, and automatic expiry.</t>
  </si>
  <si>
    <t>AIBI-S02-010</t>
  </si>
  <si>
    <t>What is the main risk of a broadly privileged shared service principal?
• A) Rely on a successful demonstration and senior stakeholder approval, then use early production feedback to resolve remaining data, security, performance, and support questions.
• B) It may bypass user-level authorization and weaken least privilege, attribution, auditability, and incident investigation.
• C) Expand the connected data and feature scope first, while postponing governed definitions, decision rights, negative testing, and release evidence until adoption patterns become visible.
• D) Choose the fastest implementation path and defer formal validation, access testing, operational ownership, and measurable acceptance until users report a production problem.</t>
  </si>
  <si>
    <t>It may bypass user-level authorization and weaken least privilege, attribution, auditability, and incident investigation.</t>
  </si>
  <si>
    <t>AIBI-Q01-007</t>
  </si>
  <si>
    <t>What is the strongest foundation for a Genie QA strategy?
• A) Expand the connected data and feature scope first, while postponing governed definitions, decision rights, negative testing, and release evidence until adoption patterns become visible.
• B) Choose the fastest implementation path and defer formal validation, access testing, operational ownership, and measurable acceptance until users report a production problem.
• C) Rely on a successful demonstration and senior stakeholder approval, then use early production feedback to resolve remaining data, security, performance, and support questions.
• D) A versioned representative test set with governed expected facts, variants, negative cases, permission personas, thresholds, and owners.</t>
  </si>
  <si>
    <t>A versioned representative test set with governed expected facts, variants, negative cases, permission personas, thresholds, and owners.</t>
  </si>
  <si>
    <t>AIBI-Q01-008</t>
  </si>
  <si>
    <t>A response is correct but too verbose for field users. How should QA treat it?
• A) Record a user-experience failure against approved criteria, correct the behavior, and regression-test representative variants.
• B) Choose the fastest implementation path and defer formal validation, access testing, operational ownership, and measurable acceptance until users report a production problem.
• C) Rely on a successful demonstration and senior stakeholder approval, then use early production feedback to resolve remaining data, security, performance, and support questions.
• D) Expand the connected data and feature scope first, while postponing governed definitions, decision rights, negative testing, and release evidence until adoption patterns become visible.</t>
  </si>
  <si>
    <t>Record a user-experience failure against approved criteria, correct the behavior, and regression-test representative variants.</t>
  </si>
  <si>
    <t>AIBI-Q01-009</t>
  </si>
  <si>
    <t>A governed metric changes after QA begins. What must happen?
• A) Rely on a successful demonstration and senior stakeholder approval, then use early production feedback to resolve remaining data, security, performance, and support questions.
• B) Update approved ground truth, assess impacted questions and assets, record approval, and rerun relevant regression and permission tests.
• C) Expand the connected data and feature scope first, while postponing governed definitions, decision rights, negative testing, and release evidence until adoption patterns become visible.
• D) Choose the fastest implementation path and defer formal validation, access testing, operational ownership, and measurable acceptance until users report a production problem.</t>
  </si>
  <si>
    <t>Update approved ground truth, assess impacted questions and assets, record approval, and rerun relevant regression and permission tests.</t>
  </si>
  <si>
    <t>AIBI-Q01-010</t>
  </si>
  <si>
    <t>Staging latency doubles under representative concurrency. What is the correct decision?
• A) Expand the connected data and feature scope first, while postponing governed definitions, decision rights, negative testing, and release evidence until adoption patterns become visible.
• B) Choose the fastest implementation path and defer formal validation, access testing, operational ownership, and measurable acceptance until users report a production problem.
• C) Hold against the approved threshold, diagnose the bottleneck, remediate or approve residual risk, and repeat the load test.
• D) Rely on a successful demonstration and senior stakeholder approval, then use early production feedback to resolve remaining data, security, performance, and support questions.</t>
  </si>
  <si>
    <t>Hold against the approved threshold, diagnose the bottleneck, remediate or approve residual risk, and repeat the load test.</t>
  </si>
  <si>
    <t>AIBI-R01-007</t>
  </si>
  <si>
    <t>Which evidence best supports a production go decision?
• A) Completed functional, security, performance, operational, support, and rollback criteria with named approvals.
• B) Choose the fastest implementation path and defer formal validation, access testing, operational ownership, and measurable acceptance until users report a production problem.
• C) Rely on a successful demonstration and senior stakeholder approval, then use early production feedback to resolve remaining data, security, performance, and support questions.
• D) Expand the connected data and feature scope first, while postponing governed definitions, decision rights, negative testing, and release evidence until adoption patterns become visible.</t>
  </si>
  <si>
    <t>Completed functional, security, performance, operational, support, and rollback criteria with named approvals.</t>
  </si>
  <si>
    <t>AIBI-R01-008</t>
  </si>
  <si>
    <t>What makes a rollback plan executable?
• A) Rely on a successful demonstration and senior stakeholder approval, then use early production feedback to resolve remaining data, security, performance, and support questions.
• B) Versioned restore points, dependency sequence, decision authority, time limits, validation, data and access impact, and communications.
• C) Expand the connected data and feature scope first, while postponing governed definitions, decision rights, negative testing, and release evidence until adoption patterns become visible.
• D) Choose the fastest implementation path and defer formal validation, access testing, operational ownership, and measurable acceptance until users report a production problem.</t>
  </si>
  <si>
    <t>Versioned restore points, dependency sequence, decision authority, time limits, validation, data and access impact, and communications.</t>
  </si>
  <si>
    <t>AIBI-R01-009</t>
  </si>
  <si>
    <t>A production metric differs from staging. What is the first priority?
• A) Expand the connected data and feature scope first, while postponing governed definitions, decision rights, negative testing, and release evidence until adoption patterns become visible.
• B) Choose the fastest implementation path and defer formal validation, access testing, operational ownership, and measurable acceptance until users report a production problem.
• C) Contain user impact, preserve evidence, compare data, configuration, permissions, and versions, then make a controlled rollback decision.
• D) Rely on a successful demonstration and senior stakeholder approval, then use early production feedback to resolve remaining data, security, performance, and support questions.</t>
  </si>
  <si>
    <t>Contain user impact, preserve evidence, compare data, configuration, permissions, and versions, then make a controlled rollback decision.</t>
  </si>
  <si>
    <t>AIBI-R01-010</t>
  </si>
  <si>
    <t>Two low-severity defects remain before launch. What should drive the decision?
• A) Choose the fastest implementation path and defer formal validation, access testing, operational ownership, and measurable acceptance until users report a production problem.
• B) Rely on a successful demonstration and senior stakeholder approval, then use early production feedback to resolve remaining data, security, performance, and support questions.
• C) Expand the connected data and feature scope first, while postponing governed definitions, decision rights, negative testing, and release evidence until adoption patterns become visible.
• D) Severity, user impact, workaround, exposure, criteria, ownership, target date, residual risk, and accountable approval.</t>
  </si>
  <si>
    <t>Severity, user impact, workaround, exposure, criteria, ownership, target date, residual risk, and accountable approval.</t>
  </si>
  <si>
    <t>AIBI-C01-007</t>
  </si>
  <si>
    <t>What should a five-minute pre-call preparation response prioritize?
• A) Rely on a successful demonstration and senior stakeholder approval, then use early production feedback to resolve remaining data, security, performance, and support questions.
• B) Concise sourced account context, recent activity, opportunities, risks, stakeholders, recommended questions, and clear next actions.
• C) Expand the connected data and feature scope first, while postponing governed definitions, decision rights, negative testing, and release evidence until adoption patterns become visible.
• D) Choose the fastest implementation path and defer formal validation, access testing, operational ownership, and measurable acceptance until users report a production problem.</t>
  </si>
  <si>
    <t>Concise sourced account context, recent activity, opportunities, risks, stakeholders, recommended questions, and clear next actions.</t>
  </si>
  <si>
    <t>AIBI-C01-008</t>
  </si>
  <si>
    <t>Users return to spreadsheets despite accurate Genie answers. What should be investigated?
• A) Expand the connected data and feature scope first, while postponing governed definitions, decision rights, negative testing, and release evidence until adoption patterns become visible.
• B) Choose the fastest implementation path and defer formal validation, access testing, operational ownership, and measurable acceptance until users report a production problem.
• C) Observed workflow fit, trust, missing actions, freshness, usability, incentives, integration, and feedback rather than assumed resistance.
• D) Rely on a successful demonstration and senior stakeholder approval, then use early production feedback to resolve remaining data, security, performance, and support questions.</t>
  </si>
  <si>
    <t>Observed workflow fit, trust, missing actions, freshness, usability, incentives, integration, and feedback rather than assumed resistance.</t>
  </si>
  <si>
    <t>AIBI-C01-009</t>
  </si>
  <si>
    <t>How should accounts needing manager intervention be presented?
• A) Choose the fastest implementation path and defer formal validation, access testing, operational ownership, and measurable acceptance until users report a production problem.
• B) Rely on a successful demonstration and senior stakeholder approval, then use early production feedback to resolve remaining data, security, performance, and support questions.
• C) Expand the connected data and feature scope first, while postponing governed definitions, decision rights, negative testing, and release evidence until adoption patterns become visible.
• D) A prioritized list with transparent signals, thresholds, rationale, freshness, ownership, drill paths, and accountable actions.</t>
  </si>
  <si>
    <t>A prioritized list with transparent signals, thresholds, rationale, freshness, ownership, drill paths, and accountable actions.</t>
  </si>
  <si>
    <t>AIBI-C01-010</t>
  </si>
  <si>
    <t>What control best limits risky next-action recommendations?
• A) Governed evidence, transparent rationale, citations, limits, human decision points, monitoring, and escalation.
• B) Rely on a successful demonstration and senior stakeholder approval, then use early production feedback to resolve remaining data, security, performance, and support questions.
• C) Expand the connected data and feature scope first, while postponing governed definitions, decision rights, negative testing, and release evidence until adoption patterns become visible.
• D) Choose the fastest implementation path and defer formal validation, access testing, operational ownership, and measurable acceptance until users report a production problem.</t>
  </si>
  <si>
    <t>Governed evidence, transparent rationale, citations, limits, human decision points, monitoring, and escalation.</t>
  </si>
  <si>
    <t>AIBI-D01-007</t>
  </si>
  <si>
    <t>What is required for a complete operational handover?
• A) Expand the connected data and feature scope first, while postponing governed definitions, decision rights, negative testing, and release evidence until adoption patterns become visible.
• B) Choose the fastest implementation path and defer formal validation, access testing, operational ownership, and measurable acceptance until users report a production problem.
• C) Architecture, configuration, security, data definitions, tests, deployment, monitoring, runbooks, support, limitations, ownership, and demonstrated knowledge.
• D) Rely on a successful demonstration and senior stakeholder approval, then use early production feedback to resolve remaining data, security, performance, and support questions.</t>
  </si>
  <si>
    <t>Architecture, configuration, security, data definitions, tests, deployment, monitoring, runbooks, support, limitations, ownership, and demonstrated knowledge.</t>
  </si>
  <si>
    <t>AIBI-D01-008</t>
  </si>
  <si>
    <t>Stakeholders disagree on launch readiness. What is the best approach?
• A) Choose the fastest implementation path and defer formal validation, access testing, operational ownership, and measurable acceptance until users report a production problem.
• B) Rely on a successful demonstration and senior stakeholder approval, then use early production feedback to resolve remaining data, security, performance, and support questions.
• C) Expand the connected data and feature scope first, while postponing governed definitions, decision rights, negative testing, and release evidence until adoption patterns become visible.
• D) Map concerns to agreed criteria, evidence, owners, and decision rights; resolve facts; record exceptions; and obtain accountable approval.</t>
  </si>
  <si>
    <t>Map concerns to agreed criteria, evidence, owners, and decision rights; resolve facts; record exceptions; and obtain accountable approval.</t>
  </si>
  <si>
    <t>AIBI-D01-009</t>
  </si>
  <si>
    <t>What makes an architecture decision record auditable?
• A) Recorded context, options, decision, rationale, consequences, owner, date, and links to supporting evidence.
• B) Rely on a successful demonstration and senior stakeholder approval, then use early production feedback to resolve remaining data, security, performance, and support questions.
• C) Expand the connected data and feature scope first, while postponing governed definitions, decision rights, negative testing, and release evidence until adoption patterns become visible.
• D) Choose the fastest implementation path and defer formal validation, access testing, operational ownership, and measurable acceptance until users report a production problem.</t>
  </si>
  <si>
    <t>Recorded context, options, decision, rationale, consequences, owner, date, and links to supporting evidence.</t>
  </si>
  <si>
    <t>AIBI-D01-010</t>
  </si>
  <si>
    <t>What should an executive solution recommendation end with?
• A) Expand the connected data and feature scope first, while postponing governed definitions, decision rights, negative testing, and release evidence until adoption patterns become visible.
• B) A clear decision request supported by value, scope, trade-offs, risks, evidence, ownership, and next steps.
• C) Choose the fastest implementation path and defer formal validation, access testing, operational ownership, and measurable acceptance until users report a production problem.
• D) Rely on a successful demonstration and senior stakeholder approval, then use early production feedback to resolve remaining data, security, performance, and support questions.</t>
  </si>
  <si>
    <t>A clear decision request supported by value, scope, trade-offs, risks, evidence, ownership, and next steps.</t>
  </si>
  <si>
    <t>Senior Databricks AI/BI and Genie Consultant Assessment</t>
  </si>
  <si>
    <t>JD-aligned question bank | 100 questions | Version 1.1</t>
  </si>
  <si>
    <t>Competency</t>
  </si>
  <si>
    <t>Question Count</t>
  </si>
  <si>
    <t>Grand Total</t>
  </si>
  <si>
    <t>Validation Check</t>
  </si>
  <si>
    <t>Question IDs unique</t>
  </si>
  <si>
    <t>Required fields complete</t>
  </si>
  <si>
    <t>Objective answer keys present</t>
  </si>
  <si>
    <t>Assessment modes populated</t>
  </si>
  <si>
    <t>Correct option not longest</t>
  </si>
  <si>
    <t>Objective question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</si>
</sst>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rlito"/>
    </font>
    <font>
      <b/>
      <sz val="11"/>
      <color rgb="FFFFFFFF"/>
      <name val="Aptos Display"/>
      <family val="2"/>
    </font>
    <font>
      <sz val="10"/>
      <color rgb="FF000000"/>
      <name val="Aptos"/>
      <family val="2"/>
    </font>
    <font>
      <b/>
      <sz val="10"/>
      <color rgb="FF5F497A"/>
      <name val="Aptos"/>
      <family val="2"/>
    </font>
    <font>
      <sz val="10"/>
      <name val="Aptos"/>
      <family val="2"/>
    </font>
    <font>
      <b/>
      <sz val="10"/>
      <color rgb="FF1F4E78"/>
      <name val="Aptos"/>
      <family val="2"/>
    </font>
    <font>
      <b/>
      <sz val="10"/>
      <color rgb="FF7F6000"/>
      <name val="Aptos"/>
      <family val="2"/>
    </font>
    <font>
      <b/>
      <sz val="10"/>
      <color rgb="FF375623"/>
      <name val="Aptos"/>
      <family val="2"/>
    </font>
    <font>
      <b/>
      <sz val="11"/>
      <color rgb="FFFFFFFF"/>
      <name val="Carlito"/>
    </font>
    <font>
      <b/>
      <sz val="11"/>
      <name val="Carlito"/>
    </font>
    <font>
      <b/>
      <sz val="11"/>
      <color rgb="FF008000"/>
      <name val="Carlito"/>
    </font>
    <font>
      <b/>
      <sz val="14"/>
      <color rgb="FFFFFFFF"/>
      <name val="Carlito"/>
    </font>
    <font>
      <b/>
      <sz val="11"/>
      <color rgb="FF000000"/>
      <name val="Carlito"/>
    </font>
  </fonts>
  <fills count="11">
    <fill>
      <patternFill patternType="none"/>
    </fill>
    <fill>
      <patternFill patternType="gray125"/>
    </fill>
    <fill>
      <patternFill patternType="solid">
        <fgColor rgb="FF1F4E78"/>
        <bgColor indexed="64"/>
      </patternFill>
    </fill>
    <fill>
      <patternFill patternType="solid">
        <fgColor rgb="FFE4DFEC"/>
        <bgColor indexed="64"/>
      </patternFill>
    </fill>
    <fill>
      <patternFill patternType="solid">
        <fgColor rgb="FFD9EAF7"/>
        <bgColor indexed="64"/>
      </patternFill>
    </fill>
    <fill>
      <patternFill patternType="solid">
        <fgColor rgb="FFFCE4C3"/>
        <bgColor indexed="64"/>
      </patternFill>
    </fill>
    <fill>
      <patternFill patternType="solid">
        <fgColor rgb="FFE2F0D9"/>
        <bgColor indexed="64"/>
      </patternFill>
    </fill>
    <fill>
      <patternFill patternType="solid">
        <fgColor rgb="FF1D2330"/>
        <bgColor indexed="64"/>
      </patternFill>
    </fill>
    <fill>
      <patternFill patternType="solid">
        <fgColor rgb="FFE2E3E5"/>
        <bgColor indexed="64"/>
      </patternFill>
    </fill>
    <fill>
      <patternFill patternType="solid">
        <fgColor rgb="FF2F75B5"/>
        <bgColor indexed="64"/>
      </patternFill>
    </fill>
    <fill>
      <patternFill patternType="solid">
        <fgColor rgb="FFFFFFFF"/>
        <bgColor indexed="64"/>
      </patternFill>
    </fill>
  </fills>
  <borders count="9">
    <border>
      <left/>
      <right/>
      <top/>
      <bottom/>
      <diagonal/>
    </border>
    <border>
      <left/>
      <right/>
      <top style="medium">
        <color rgb="FF4472C4"/>
      </top>
      <bottom/>
      <diagonal/>
    </border>
    <border>
      <left/>
      <right/>
      <top style="medium">
        <color rgb="FF4472C4"/>
      </top>
      <bottom style="medium">
        <color rgb="FF4472C4"/>
      </bottom>
      <diagonal/>
    </border>
    <border>
      <left/>
      <right/>
      <top/>
      <bottom style="thick">
        <color rgb="FF1D2330"/>
      </bottom>
      <diagonal/>
    </border>
    <border>
      <left style="medium">
        <color rgb="FF008000"/>
      </left>
      <right style="medium">
        <color rgb="FF008000"/>
      </right>
      <top style="medium">
        <color rgb="FF1D2330"/>
      </top>
      <bottom style="medium">
        <color rgb="FF008000"/>
      </bottom>
      <diagonal/>
    </border>
    <border>
      <left/>
      <right/>
      <top/>
      <bottom style="thick">
        <color rgb="FF2F75B5"/>
      </bottom>
      <diagonal/>
    </border>
    <border>
      <left/>
      <right/>
      <top/>
      <bottom style="medium">
        <color rgb="FF1D2330"/>
      </bottom>
      <diagonal/>
    </border>
    <border>
      <left/>
      <right/>
      <top/>
      <bottom style="medium">
        <color rgb="FF000000"/>
      </bottom>
      <diagonal/>
    </border>
    <border>
      <left/>
      <right/>
      <top/>
      <bottom style="thin">
        <color rgb="FF808080"/>
      </bottom>
      <diagonal/>
    </border>
  </borders>
  <cellStyleXfs count="1">
    <xf numFmtId="0" fontId="0" fillId="0" borderId="0"/>
  </cellStyleXfs>
  <cellXfs count="39">
    <xf numFmtId="0" fontId="0" fillId="0" borderId="0" xfId="0"/>
    <xf numFmtId="0" fontId="1" fillId="2" borderId="0" xfId="0" applyFont="1" applyFill="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4" fillId="0" borderId="0" xfId="0" applyFont="1" applyAlignment="1">
      <alignment horizontal="left" vertical="top" wrapText="1"/>
    </xf>
    <xf numFmtId="0" fontId="4" fillId="0" borderId="0" xfId="0" applyFont="1" applyAlignment="1">
      <alignment horizontal="center" vertical="top" wrapText="1"/>
    </xf>
    <xf numFmtId="0" fontId="4" fillId="0" borderId="2" xfId="0" applyFont="1" applyBorder="1" applyAlignment="1">
      <alignment horizontal="left" vertical="top" wrapText="1"/>
    </xf>
    <xf numFmtId="0" fontId="4" fillId="0" borderId="2" xfId="0" applyFont="1" applyBorder="1" applyAlignment="1">
      <alignment horizontal="center" vertical="top" wrapText="1"/>
    </xf>
    <xf numFmtId="0" fontId="8" fillId="7" borderId="3" xfId="0" applyFont="1" applyFill="1" applyBorder="1" applyAlignment="1">
      <alignment horizontal="left"/>
    </xf>
    <xf numFmtId="0" fontId="9" fillId="8" borderId="0" xfId="0" applyFont="1" applyFill="1" applyAlignment="1">
      <alignment horizontal="left"/>
    </xf>
    <xf numFmtId="0" fontId="8" fillId="7" borderId="0" xfId="0" applyFont="1" applyFill="1" applyAlignment="1">
      <alignment horizontal="center"/>
    </xf>
    <xf numFmtId="0" fontId="10" fillId="0" borderId="4" xfId="0" applyFont="1" applyBorder="1" applyAlignment="1">
      <alignment horizontal="center"/>
    </xf>
    <xf numFmtId="0" fontId="2" fillId="0" borderId="1" xfId="0" applyFont="1" applyBorder="1" applyAlignment="1">
      <alignment horizontal="center" vertical="top" wrapText="1"/>
    </xf>
    <xf numFmtId="0" fontId="3" fillId="3" borderId="1" xfId="0" applyFont="1" applyFill="1" applyBorder="1" applyAlignment="1">
      <alignment horizontal="center" vertical="center" wrapText="1"/>
    </xf>
    <xf numFmtId="0" fontId="2" fillId="0" borderId="0" xfId="0" applyFont="1" applyAlignment="1">
      <alignment horizontal="center" vertical="top" wrapText="1"/>
    </xf>
    <xf numFmtId="0" fontId="3" fillId="3" borderId="0" xfId="0" applyFont="1" applyFill="1" applyAlignment="1">
      <alignment horizontal="center" vertical="center" wrapText="1"/>
    </xf>
    <xf numFmtId="0" fontId="5" fillId="3" borderId="1" xfId="0" applyFont="1" applyFill="1" applyBorder="1" applyAlignment="1">
      <alignment horizontal="center" vertical="center" wrapText="1"/>
    </xf>
    <xf numFmtId="0" fontId="5" fillId="3" borderId="0" xfId="0" applyFont="1" applyFill="1" applyAlignment="1">
      <alignment horizontal="center" vertical="center" wrapText="1"/>
    </xf>
    <xf numFmtId="0" fontId="5" fillId="4" borderId="1" xfId="0" applyFont="1" applyFill="1" applyBorder="1" applyAlignment="1">
      <alignment horizontal="center" vertical="center" wrapText="1"/>
    </xf>
    <xf numFmtId="0" fontId="5" fillId="4" borderId="0" xfId="0" applyFont="1" applyFill="1" applyAlignment="1">
      <alignment horizontal="center" vertical="center" wrapText="1"/>
    </xf>
    <xf numFmtId="0" fontId="6" fillId="4" borderId="1" xfId="0" applyFont="1" applyFill="1" applyBorder="1" applyAlignment="1">
      <alignment horizontal="center" vertical="center" wrapText="1"/>
    </xf>
    <xf numFmtId="0" fontId="6" fillId="4" borderId="0" xfId="0" applyFont="1" applyFill="1" applyAlignment="1">
      <alignment horizontal="center" vertical="center" wrapText="1"/>
    </xf>
    <xf numFmtId="0" fontId="7" fillId="4" borderId="1" xfId="0" applyFont="1" applyFill="1" applyBorder="1" applyAlignment="1">
      <alignment horizontal="center" vertical="center" wrapText="1"/>
    </xf>
    <xf numFmtId="0" fontId="7" fillId="4" borderId="0" xfId="0" applyFont="1" applyFill="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top" wrapText="1"/>
    </xf>
    <xf numFmtId="0" fontId="3" fillId="4" borderId="0" xfId="0" applyFont="1" applyFill="1" applyAlignment="1">
      <alignment horizontal="center" vertical="top" wrapText="1"/>
    </xf>
    <xf numFmtId="0" fontId="3" fillId="5" borderId="1" xfId="0" applyFont="1" applyFill="1" applyBorder="1" applyAlignment="1">
      <alignment horizontal="center" vertical="top" wrapText="1"/>
    </xf>
    <xf numFmtId="0" fontId="3" fillId="5" borderId="0" xfId="0" applyFont="1" applyFill="1" applyAlignment="1">
      <alignment horizontal="center" vertical="top" wrapText="1"/>
    </xf>
    <xf numFmtId="0" fontId="3" fillId="6" borderId="1" xfId="0" applyFont="1" applyFill="1" applyBorder="1" applyAlignment="1">
      <alignment horizontal="center" vertical="top" wrapText="1"/>
    </xf>
    <xf numFmtId="0" fontId="3" fillId="6" borderId="0" xfId="0" applyFont="1" applyFill="1" applyAlignment="1">
      <alignment horizontal="center" vertical="top" wrapText="1"/>
    </xf>
    <xf numFmtId="0" fontId="2" fillId="0" borderId="2" xfId="0" applyFont="1" applyBorder="1" applyAlignment="1">
      <alignment horizontal="center" vertical="top" wrapText="1"/>
    </xf>
    <xf numFmtId="0" fontId="3" fillId="3" borderId="2" xfId="0" applyFont="1" applyFill="1" applyBorder="1" applyAlignment="1">
      <alignment horizontal="center" vertical="top" wrapText="1"/>
    </xf>
    <xf numFmtId="0" fontId="3" fillId="3" borderId="0" xfId="0" applyFont="1" applyFill="1" applyAlignment="1">
      <alignment horizontal="center" vertical="top" wrapText="1"/>
    </xf>
    <xf numFmtId="0" fontId="0" fillId="0" borderId="0" xfId="0" applyAlignment="1">
      <alignment wrapText="1"/>
    </xf>
    <xf numFmtId="0" fontId="11" fillId="7" borderId="5" xfId="0" applyFont="1" applyFill="1" applyBorder="1" applyAlignment="1">
      <alignment horizontal="left"/>
    </xf>
    <xf numFmtId="0" fontId="8" fillId="9" borderId="6" xfId="0" applyFont="1" applyFill="1" applyBorder="1" applyAlignment="1">
      <alignment horizontal="center"/>
    </xf>
    <xf numFmtId="1" fontId="12" fillId="10" borderId="7" xfId="0" applyNumberFormat="1" applyFont="1" applyFill="1" applyBorder="1" applyAlignment="1">
      <alignment horizontal="right"/>
    </xf>
    <xf numFmtId="0" fontId="12" fillId="8" borderId="8" xfId="0" applyFont="1" applyFill="1" applyBorder="1" applyAlignment="1">
      <alignment horizontal="left"/>
    </xf>
  </cellXfs>
  <cellStyles count="1">
    <cellStyle name="Normal" xfId="0" builtinId="0"/>
  </cellStyles>
  <dxfs count="19">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i val="0"/>
        <strike val="0"/>
        <condense val="0"/>
        <extend val="0"/>
        <outline val="0"/>
        <shadow val="0"/>
        <u val="none"/>
        <vertAlign val="baseline"/>
        <sz val="10"/>
        <color rgb="FF1F4E78"/>
        <name val="Aptos"/>
        <family val="2"/>
        <scheme val="none"/>
      </font>
      <fill>
        <patternFill patternType="solid">
          <fgColor indexed="64"/>
          <bgColor rgb="FFD9EAF7"/>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i val="0"/>
        <strike val="0"/>
        <condense val="0"/>
        <extend val="0"/>
        <outline val="0"/>
        <shadow val="0"/>
        <u val="none"/>
        <vertAlign val="baseline"/>
        <sz val="11"/>
        <color rgb="FFFFFFFF"/>
        <name val="Aptos Display"/>
        <family val="2"/>
        <scheme val="none"/>
      </font>
      <fill>
        <patternFill patternType="solid">
          <fgColor indexed="64"/>
          <bgColor rgb="FF1F4E78"/>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F9331B-181D-4A0E-BC70-41AD478058F5}" name="AIBIGenieQuestionBank" displayName="AIBIGenieQuestionBank" ref="A1:Q101" totalsRowShown="0" headerRowDxfId="18" dataDxfId="17">
  <autoFilter ref="A1:Q101" xr:uid="{78F9331B-181D-4A0E-BC70-41AD478058F5}"/>
  <tableColumns count="17">
    <tableColumn id="1" xr3:uid="{AF95484D-6469-4656-BF3F-BD1C6DC397A0}" name="Question ID" dataDxfId="16"/>
    <tableColumn id="2" xr3:uid="{28097959-175F-40CD-98FB-C994F0C33AAE}" name="Module ID" dataDxfId="15"/>
    <tableColumn id="3" xr3:uid="{EA532B93-7DA2-4D30-9D3C-DA56CDC9A462}" name="Type" dataDxfId="14"/>
    <tableColumn id="4" xr3:uid="{6A121C5B-A89B-4E1A-A47B-37458E138B01}" name="Difficulty 1-5" dataDxfId="13"/>
    <tableColumn id="5" xr3:uid="{461FC90B-339E-471D-987C-070A9DE483B7}" name="AI/BI Genie Assessment Question" dataDxfId="12"/>
    <tableColumn id="6" xr3:uid="{E865400F-DA2E-4A4D-ABDB-8DBDB50E777E}" name="Follow-up Probes" dataDxfId="11"/>
    <tableColumn id="7" xr3:uid="{538FC9BF-5B8D-4F57-8731-C85A1F36DEDD}" name="Expected Evidence (JD-aligned)" dataDxfId="10"/>
    <tableColumn id="8" xr3:uid="{A9E088DD-9609-40F9-BBCD-9F6AA736A57F}" name="Red Flags" dataDxfId="9"/>
    <tableColumn id="9" xr3:uid="{9923AE94-0B7D-4CB4-9009-D7A8B32BC9C4}" name="Gap Tag" dataDxfId="8"/>
    <tableColumn id="10" xr3:uid="{1305DBA7-BBA6-406D-9334-2F14CB57D8B3}" name="Enrichment Prescription" dataDxfId="7"/>
    <tableColumn id="11" xr3:uid="{7C2A99AB-532D-4522-A9CC-D79E1747A0F5}" name="Suggested Minutes" dataDxfId="6"/>
    <tableColumn id="12" xr3:uid="{A888AD30-495B-42CE-B4C4-B150D2F43880}" name="Status" dataDxfId="5"/>
    <tableColumn id="13" xr3:uid="{C1B35081-8F80-45DE-AA27-B524B8053A02}" name="Version" dataDxfId="4"/>
    <tableColumn id="14" xr3:uid="{A6DB1C47-B7F1-45C3-B3ED-02D4C66C5BAA}" name="Question Family" dataDxfId="3"/>
    <tableColumn id="15" xr3:uid="{E984F61E-E5D7-42EE-8C62-A2C9C77A2FA1}" name="Difficulty Band" dataDxfId="2"/>
    <tableColumn id="16" xr3:uid="{B844C2B7-74D8-4FD2-B3E3-CE44F76E7A7D}" name="Assessment Mode" dataDxfId="1"/>
    <tableColumn id="17" xr3:uid="{03029544-0FE8-4797-BFE4-387AEE95B295}" name="Randomization Eligible"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861380B-E051-4A66-958F-BABE38A930D2}">
  <we:reference id="WA200010215" version="2.0.0.0" store="Omex" storeType="OMEX"/>
  <we:alternateReferences>
    <we:reference id="WA200010215" version="2.0.0.0" store="WA200010215" storeType="OMEX"/>
  </we:alternateReferences>
  <we:properties>
    <we:property name="bps.codex_control.document_id" value="&quot;241755d1-906a-4823-8c65-db161f79591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8E161-29F2-44A2-9CC0-C25A71B8825B}">
  <dimension ref="A1:Q349"/>
  <sheetViews>
    <sheetView showGridLines="0" tabSelected="1" zoomScale="80" zoomScaleNormal="80" workbookViewId="0">
      <pane xSplit="4" ySplit="1" topLeftCell="E19" activePane="bottomRight" state="frozen"/>
      <selection pane="bottomRight" activeCell="E2" sqref="E2"/>
      <selection pane="bottomLeft" activeCell="A2" sqref="A2"/>
      <selection pane="topRight" activeCell="E1" sqref="E1"/>
    </sheetView>
  </sheetViews>
  <sheetFormatPr defaultRowHeight="14.1"/>
  <cols>
    <col min="1" max="4" width="15.875" style="34" customWidth="1"/>
    <col min="5" max="10" width="43.375" style="34" customWidth="1"/>
    <col min="11" max="17" width="19.125" style="34" customWidth="1"/>
  </cols>
  <sheetData>
    <row r="1" spans="1:17" ht="15" thickBo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273">
      <c r="A2" s="12" t="s">
        <v>17</v>
      </c>
      <c r="B2" s="13" t="s">
        <v>18</v>
      </c>
      <c r="C2" s="3" t="s">
        <v>19</v>
      </c>
      <c r="D2" s="3">
        <v>5</v>
      </c>
      <c r="E2" s="2" t="s">
        <v>20</v>
      </c>
      <c r="F2" s="2" t="s">
        <v>21</v>
      </c>
      <c r="G2" s="2" t="s">
        <v>22</v>
      </c>
      <c r="H2" s="2" t="s">
        <v>23</v>
      </c>
      <c r="I2" s="2" t="s">
        <v>24</v>
      </c>
      <c r="J2" s="2" t="s">
        <v>25</v>
      </c>
      <c r="K2" s="3">
        <v>2</v>
      </c>
      <c r="L2" s="3" t="s">
        <v>26</v>
      </c>
      <c r="M2" s="3">
        <v>1</v>
      </c>
      <c r="N2" s="2" t="s">
        <v>27</v>
      </c>
      <c r="O2" s="3" t="s">
        <v>28</v>
      </c>
      <c r="P2" s="3" t="s">
        <v>29</v>
      </c>
      <c r="Q2" s="3" t="s">
        <v>30</v>
      </c>
    </row>
    <row r="3" spans="1:17" ht="51.95">
      <c r="A3" s="14" t="s">
        <v>31</v>
      </c>
      <c r="B3" s="15" t="s">
        <v>18</v>
      </c>
      <c r="C3" s="5" t="s">
        <v>32</v>
      </c>
      <c r="D3" s="5">
        <v>4</v>
      </c>
      <c r="E3" s="4" t="s">
        <v>33</v>
      </c>
      <c r="F3" s="4" t="s">
        <v>34</v>
      </c>
      <c r="G3" s="4" t="s">
        <v>35</v>
      </c>
      <c r="H3" s="4" t="s">
        <v>36</v>
      </c>
      <c r="I3" s="4" t="s">
        <v>24</v>
      </c>
      <c r="J3" s="4" t="s">
        <v>25</v>
      </c>
      <c r="K3" s="5">
        <v>6</v>
      </c>
      <c r="L3" s="5" t="s">
        <v>26</v>
      </c>
      <c r="M3" s="5">
        <v>1</v>
      </c>
      <c r="N3" s="4" t="s">
        <v>27</v>
      </c>
      <c r="O3" s="5" t="s">
        <v>37</v>
      </c>
      <c r="P3" s="5" t="s">
        <v>38</v>
      </c>
      <c r="Q3" s="5" t="s">
        <v>30</v>
      </c>
    </row>
    <row r="4" spans="1:17" ht="39">
      <c r="A4" s="14" t="s">
        <v>39</v>
      </c>
      <c r="B4" s="15" t="s">
        <v>18</v>
      </c>
      <c r="C4" s="5" t="s">
        <v>40</v>
      </c>
      <c r="D4" s="5">
        <v>4</v>
      </c>
      <c r="E4" s="4" t="s">
        <v>41</v>
      </c>
      <c r="F4" s="4" t="s">
        <v>34</v>
      </c>
      <c r="G4" s="4" t="s">
        <v>42</v>
      </c>
      <c r="H4" s="4" t="s">
        <v>43</v>
      </c>
      <c r="I4" s="4" t="s">
        <v>24</v>
      </c>
      <c r="J4" s="4" t="s">
        <v>25</v>
      </c>
      <c r="K4" s="5">
        <v>7</v>
      </c>
      <c r="L4" s="5" t="s">
        <v>26</v>
      </c>
      <c r="M4" s="5">
        <v>1</v>
      </c>
      <c r="N4" s="4" t="s">
        <v>27</v>
      </c>
      <c r="O4" s="5" t="s">
        <v>37</v>
      </c>
      <c r="P4" s="5" t="s">
        <v>38</v>
      </c>
      <c r="Q4" s="5" t="s">
        <v>30</v>
      </c>
    </row>
    <row r="5" spans="1:17" ht="117.6" thickBot="1">
      <c r="A5" s="14" t="s">
        <v>44</v>
      </c>
      <c r="B5" s="15" t="s">
        <v>18</v>
      </c>
      <c r="C5" s="5" t="s">
        <v>19</v>
      </c>
      <c r="D5" s="5">
        <v>4</v>
      </c>
      <c r="E5" s="4" t="s">
        <v>45</v>
      </c>
      <c r="F5" s="4" t="s">
        <v>21</v>
      </c>
      <c r="G5" s="4" t="s">
        <v>46</v>
      </c>
      <c r="H5" s="4" t="s">
        <v>47</v>
      </c>
      <c r="I5" s="4" t="s">
        <v>24</v>
      </c>
      <c r="J5" s="4" t="s">
        <v>25</v>
      </c>
      <c r="K5" s="5">
        <v>2</v>
      </c>
      <c r="L5" s="5" t="s">
        <v>26</v>
      </c>
      <c r="M5" s="5">
        <v>1</v>
      </c>
      <c r="N5" s="4" t="s">
        <v>27</v>
      </c>
      <c r="O5" s="5" t="s">
        <v>37</v>
      </c>
      <c r="P5" s="5" t="s">
        <v>29</v>
      </c>
      <c r="Q5" s="5" t="s">
        <v>30</v>
      </c>
    </row>
    <row r="6" spans="1:17" ht="39">
      <c r="A6" s="12" t="s">
        <v>48</v>
      </c>
      <c r="B6" s="16" t="s">
        <v>18</v>
      </c>
      <c r="C6" s="3" t="s">
        <v>49</v>
      </c>
      <c r="D6" s="3">
        <v>5</v>
      </c>
      <c r="E6" s="2" t="s">
        <v>50</v>
      </c>
      <c r="F6" s="2" t="s">
        <v>34</v>
      </c>
      <c r="G6" s="2" t="s">
        <v>51</v>
      </c>
      <c r="H6" s="2" t="s">
        <v>52</v>
      </c>
      <c r="I6" s="2" t="s">
        <v>24</v>
      </c>
      <c r="J6" s="2" t="s">
        <v>25</v>
      </c>
      <c r="K6" s="3">
        <v>8</v>
      </c>
      <c r="L6" s="3" t="s">
        <v>26</v>
      </c>
      <c r="M6" s="3">
        <v>1</v>
      </c>
      <c r="N6" s="2" t="s">
        <v>27</v>
      </c>
      <c r="O6" s="3" t="s">
        <v>28</v>
      </c>
      <c r="P6" s="3" t="s">
        <v>53</v>
      </c>
      <c r="Q6" s="3" t="s">
        <v>30</v>
      </c>
    </row>
    <row r="7" spans="1:17" ht="39">
      <c r="A7" s="14" t="s">
        <v>54</v>
      </c>
      <c r="B7" s="17" t="s">
        <v>18</v>
      </c>
      <c r="C7" s="5" t="s">
        <v>55</v>
      </c>
      <c r="D7" s="5">
        <v>5</v>
      </c>
      <c r="E7" s="4" t="s">
        <v>56</v>
      </c>
      <c r="F7" s="4" t="s">
        <v>34</v>
      </c>
      <c r="G7" s="4" t="s">
        <v>57</v>
      </c>
      <c r="H7" s="4" t="s">
        <v>58</v>
      </c>
      <c r="I7" s="4" t="s">
        <v>24</v>
      </c>
      <c r="J7" s="4" t="s">
        <v>25</v>
      </c>
      <c r="K7" s="5">
        <v>7</v>
      </c>
      <c r="L7" s="5" t="s">
        <v>26</v>
      </c>
      <c r="M7" s="5">
        <v>1</v>
      </c>
      <c r="N7" s="4" t="s">
        <v>27</v>
      </c>
      <c r="O7" s="5" t="s">
        <v>28</v>
      </c>
      <c r="P7" s="5" t="s">
        <v>53</v>
      </c>
      <c r="Q7" s="5" t="s">
        <v>30</v>
      </c>
    </row>
    <row r="8" spans="1:17" ht="260.10000000000002">
      <c r="A8" s="14" t="s">
        <v>59</v>
      </c>
      <c r="B8" s="17" t="s">
        <v>60</v>
      </c>
      <c r="C8" s="5" t="s">
        <v>19</v>
      </c>
      <c r="D8" s="5">
        <v>4</v>
      </c>
      <c r="E8" s="4" t="s">
        <v>61</v>
      </c>
      <c r="F8" s="4" t="s">
        <v>62</v>
      </c>
      <c r="G8" s="4" t="s">
        <v>63</v>
      </c>
      <c r="H8" s="4" t="s">
        <v>64</v>
      </c>
      <c r="I8" s="4" t="s">
        <v>65</v>
      </c>
      <c r="J8" s="4" t="s">
        <v>66</v>
      </c>
      <c r="K8" s="5">
        <v>2</v>
      </c>
      <c r="L8" s="5" t="s">
        <v>26</v>
      </c>
      <c r="M8" s="5">
        <v>1</v>
      </c>
      <c r="N8" s="4" t="s">
        <v>67</v>
      </c>
      <c r="O8" s="5" t="s">
        <v>37</v>
      </c>
      <c r="P8" s="5" t="s">
        <v>29</v>
      </c>
      <c r="Q8" s="5" t="s">
        <v>30</v>
      </c>
    </row>
    <row r="9" spans="1:17" ht="39">
      <c r="A9" s="14" t="s">
        <v>68</v>
      </c>
      <c r="B9" s="17" t="s">
        <v>60</v>
      </c>
      <c r="C9" s="5" t="s">
        <v>40</v>
      </c>
      <c r="D9" s="5">
        <v>5</v>
      </c>
      <c r="E9" s="4" t="s">
        <v>69</v>
      </c>
      <c r="F9" s="4" t="s">
        <v>34</v>
      </c>
      <c r="G9" s="4" t="s">
        <v>70</v>
      </c>
      <c r="H9" s="4" t="s">
        <v>71</v>
      </c>
      <c r="I9" s="4" t="s">
        <v>65</v>
      </c>
      <c r="J9" s="4" t="s">
        <v>66</v>
      </c>
      <c r="K9" s="5">
        <v>8</v>
      </c>
      <c r="L9" s="5" t="s">
        <v>26</v>
      </c>
      <c r="M9" s="5">
        <v>1</v>
      </c>
      <c r="N9" s="4" t="s">
        <v>67</v>
      </c>
      <c r="O9" s="5" t="s">
        <v>28</v>
      </c>
      <c r="P9" s="5" t="s">
        <v>53</v>
      </c>
      <c r="Q9" s="5" t="s">
        <v>30</v>
      </c>
    </row>
    <row r="10" spans="1:17" ht="51.95">
      <c r="A10" s="14" t="s">
        <v>72</v>
      </c>
      <c r="B10" s="17" t="s">
        <v>60</v>
      </c>
      <c r="C10" s="5" t="s">
        <v>32</v>
      </c>
      <c r="D10" s="5">
        <v>4</v>
      </c>
      <c r="E10" s="4" t="s">
        <v>73</v>
      </c>
      <c r="F10" s="4" t="s">
        <v>34</v>
      </c>
      <c r="G10" s="4" t="s">
        <v>74</v>
      </c>
      <c r="H10" s="4" t="s">
        <v>75</v>
      </c>
      <c r="I10" s="4" t="s">
        <v>65</v>
      </c>
      <c r="J10" s="4" t="s">
        <v>66</v>
      </c>
      <c r="K10" s="5">
        <v>6</v>
      </c>
      <c r="L10" s="5" t="s">
        <v>26</v>
      </c>
      <c r="M10" s="5">
        <v>1</v>
      </c>
      <c r="N10" s="4" t="s">
        <v>67</v>
      </c>
      <c r="O10" s="5" t="s">
        <v>37</v>
      </c>
      <c r="P10" s="5" t="s">
        <v>38</v>
      </c>
      <c r="Q10" s="5" t="s">
        <v>30</v>
      </c>
    </row>
    <row r="11" spans="1:17" ht="117">
      <c r="A11" s="14" t="s">
        <v>76</v>
      </c>
      <c r="B11" s="17" t="s">
        <v>60</v>
      </c>
      <c r="C11" s="5" t="s">
        <v>19</v>
      </c>
      <c r="D11" s="5">
        <v>4</v>
      </c>
      <c r="E11" s="4" t="s">
        <v>77</v>
      </c>
      <c r="F11" s="4" t="s">
        <v>78</v>
      </c>
      <c r="G11" s="4" t="s">
        <v>79</v>
      </c>
      <c r="H11" s="4" t="s">
        <v>80</v>
      </c>
      <c r="I11" s="4" t="s">
        <v>65</v>
      </c>
      <c r="J11" s="4" t="s">
        <v>66</v>
      </c>
      <c r="K11" s="5">
        <v>2</v>
      </c>
      <c r="L11" s="5" t="s">
        <v>26</v>
      </c>
      <c r="M11" s="5">
        <v>1</v>
      </c>
      <c r="N11" s="4" t="s">
        <v>67</v>
      </c>
      <c r="O11" s="5" t="s">
        <v>37</v>
      </c>
      <c r="P11" s="5" t="s">
        <v>29</v>
      </c>
      <c r="Q11" s="5" t="s">
        <v>30</v>
      </c>
    </row>
    <row r="12" spans="1:17" ht="39">
      <c r="A12" s="14" t="s">
        <v>81</v>
      </c>
      <c r="B12" s="17" t="s">
        <v>60</v>
      </c>
      <c r="C12" s="5" t="s">
        <v>82</v>
      </c>
      <c r="D12" s="5">
        <v>5</v>
      </c>
      <c r="E12" s="4" t="s">
        <v>83</v>
      </c>
      <c r="F12" s="4" t="s">
        <v>34</v>
      </c>
      <c r="G12" s="4" t="s">
        <v>84</v>
      </c>
      <c r="H12" s="4" t="s">
        <v>85</v>
      </c>
      <c r="I12" s="4" t="s">
        <v>65</v>
      </c>
      <c r="J12" s="4" t="s">
        <v>66</v>
      </c>
      <c r="K12" s="5">
        <v>9</v>
      </c>
      <c r="L12" s="5" t="s">
        <v>26</v>
      </c>
      <c r="M12" s="5">
        <v>1</v>
      </c>
      <c r="N12" s="4" t="s">
        <v>67</v>
      </c>
      <c r="O12" s="5" t="s">
        <v>28</v>
      </c>
      <c r="P12" s="5" t="s">
        <v>53</v>
      </c>
      <c r="Q12" s="5" t="s">
        <v>30</v>
      </c>
    </row>
    <row r="13" spans="1:17" ht="39">
      <c r="A13" s="14" t="s">
        <v>86</v>
      </c>
      <c r="B13" s="17" t="s">
        <v>60</v>
      </c>
      <c r="C13" s="5" t="s">
        <v>55</v>
      </c>
      <c r="D13" s="5">
        <v>5</v>
      </c>
      <c r="E13" s="4" t="s">
        <v>87</v>
      </c>
      <c r="F13" s="4" t="s">
        <v>34</v>
      </c>
      <c r="G13" s="4" t="s">
        <v>88</v>
      </c>
      <c r="H13" s="4" t="s">
        <v>89</v>
      </c>
      <c r="I13" s="4" t="s">
        <v>65</v>
      </c>
      <c r="J13" s="4" t="s">
        <v>66</v>
      </c>
      <c r="K13" s="5">
        <v>7</v>
      </c>
      <c r="L13" s="5" t="s">
        <v>26</v>
      </c>
      <c r="M13" s="5">
        <v>1</v>
      </c>
      <c r="N13" s="4" t="s">
        <v>67</v>
      </c>
      <c r="O13" s="5" t="s">
        <v>28</v>
      </c>
      <c r="P13" s="5" t="s">
        <v>53</v>
      </c>
      <c r="Q13" s="5" t="s">
        <v>30</v>
      </c>
    </row>
    <row r="14" spans="1:17" ht="247.5" thickBot="1">
      <c r="A14" s="14" t="s">
        <v>90</v>
      </c>
      <c r="B14" s="17" t="s">
        <v>91</v>
      </c>
      <c r="C14" s="5" t="s">
        <v>19</v>
      </c>
      <c r="D14" s="5">
        <v>4</v>
      </c>
      <c r="E14" s="4" t="s">
        <v>92</v>
      </c>
      <c r="F14" s="4" t="s">
        <v>78</v>
      </c>
      <c r="G14" s="4" t="s">
        <v>93</v>
      </c>
      <c r="H14" s="4" t="s">
        <v>94</v>
      </c>
      <c r="I14" s="4" t="s">
        <v>95</v>
      </c>
      <c r="J14" s="4" t="s">
        <v>96</v>
      </c>
      <c r="K14" s="5">
        <v>2</v>
      </c>
      <c r="L14" s="5" t="s">
        <v>26</v>
      </c>
      <c r="M14" s="5">
        <v>1</v>
      </c>
      <c r="N14" s="4" t="s">
        <v>97</v>
      </c>
      <c r="O14" s="5" t="s">
        <v>37</v>
      </c>
      <c r="P14" s="5" t="s">
        <v>29</v>
      </c>
      <c r="Q14" s="5" t="s">
        <v>30</v>
      </c>
    </row>
    <row r="15" spans="1:17" ht="39.6" thickBot="1">
      <c r="A15" s="12" t="s">
        <v>98</v>
      </c>
      <c r="B15" s="16" t="s">
        <v>91</v>
      </c>
      <c r="C15" s="3" t="s">
        <v>40</v>
      </c>
      <c r="D15" s="3">
        <v>5</v>
      </c>
      <c r="E15" s="2" t="s">
        <v>99</v>
      </c>
      <c r="F15" s="2" t="s">
        <v>34</v>
      </c>
      <c r="G15" s="2" t="s">
        <v>100</v>
      </c>
      <c r="H15" s="2" t="s">
        <v>101</v>
      </c>
      <c r="I15" s="2" t="s">
        <v>95</v>
      </c>
      <c r="J15" s="2" t="s">
        <v>96</v>
      </c>
      <c r="K15" s="3">
        <v>9</v>
      </c>
      <c r="L15" s="3" t="s">
        <v>26</v>
      </c>
      <c r="M15" s="3">
        <v>1</v>
      </c>
      <c r="N15" s="2" t="s">
        <v>97</v>
      </c>
      <c r="O15" s="3" t="s">
        <v>28</v>
      </c>
      <c r="P15" s="3" t="s">
        <v>53</v>
      </c>
      <c r="Q15" s="3" t="s">
        <v>30</v>
      </c>
    </row>
    <row r="16" spans="1:17" ht="39">
      <c r="A16" s="12" t="s">
        <v>102</v>
      </c>
      <c r="B16" s="18" t="s">
        <v>91</v>
      </c>
      <c r="C16" s="3" t="s">
        <v>32</v>
      </c>
      <c r="D16" s="3">
        <v>4</v>
      </c>
      <c r="E16" s="2" t="s">
        <v>103</v>
      </c>
      <c r="F16" s="2" t="s">
        <v>34</v>
      </c>
      <c r="G16" s="2" t="s">
        <v>104</v>
      </c>
      <c r="H16" s="2" t="s">
        <v>105</v>
      </c>
      <c r="I16" s="2" t="s">
        <v>95</v>
      </c>
      <c r="J16" s="2" t="s">
        <v>96</v>
      </c>
      <c r="K16" s="3">
        <v>6</v>
      </c>
      <c r="L16" s="3" t="s">
        <v>26</v>
      </c>
      <c r="M16" s="3">
        <v>1</v>
      </c>
      <c r="N16" s="2" t="s">
        <v>97</v>
      </c>
      <c r="O16" s="3" t="s">
        <v>37</v>
      </c>
      <c r="P16" s="3" t="s">
        <v>38</v>
      </c>
      <c r="Q16" s="3" t="s">
        <v>30</v>
      </c>
    </row>
    <row r="17" spans="1:17" ht="117">
      <c r="A17" s="14" t="s">
        <v>106</v>
      </c>
      <c r="B17" s="19" t="s">
        <v>91</v>
      </c>
      <c r="C17" s="5" t="s">
        <v>19</v>
      </c>
      <c r="D17" s="5">
        <v>4</v>
      </c>
      <c r="E17" s="4" t="s">
        <v>107</v>
      </c>
      <c r="F17" s="4" t="s">
        <v>62</v>
      </c>
      <c r="G17" s="4" t="s">
        <v>108</v>
      </c>
      <c r="H17" s="4" t="s">
        <v>109</v>
      </c>
      <c r="I17" s="4" t="s">
        <v>95</v>
      </c>
      <c r="J17" s="4" t="s">
        <v>96</v>
      </c>
      <c r="K17" s="5">
        <v>2</v>
      </c>
      <c r="L17" s="5" t="s">
        <v>26</v>
      </c>
      <c r="M17" s="5">
        <v>1</v>
      </c>
      <c r="N17" s="4" t="s">
        <v>97</v>
      </c>
      <c r="O17" s="5" t="s">
        <v>37</v>
      </c>
      <c r="P17" s="5" t="s">
        <v>29</v>
      </c>
      <c r="Q17" s="5" t="s">
        <v>30</v>
      </c>
    </row>
    <row r="18" spans="1:17" ht="39">
      <c r="A18" s="14" t="s">
        <v>110</v>
      </c>
      <c r="B18" s="19" t="s">
        <v>91</v>
      </c>
      <c r="C18" s="5" t="s">
        <v>55</v>
      </c>
      <c r="D18" s="5">
        <v>5</v>
      </c>
      <c r="E18" s="4" t="s">
        <v>111</v>
      </c>
      <c r="F18" s="4" t="s">
        <v>34</v>
      </c>
      <c r="G18" s="4" t="s">
        <v>112</v>
      </c>
      <c r="H18" s="4" t="s">
        <v>113</v>
      </c>
      <c r="I18" s="4" t="s">
        <v>95</v>
      </c>
      <c r="J18" s="4" t="s">
        <v>96</v>
      </c>
      <c r="K18" s="5">
        <v>7</v>
      </c>
      <c r="L18" s="5" t="s">
        <v>26</v>
      </c>
      <c r="M18" s="5">
        <v>1</v>
      </c>
      <c r="N18" s="4" t="s">
        <v>97</v>
      </c>
      <c r="O18" s="5" t="s">
        <v>28</v>
      </c>
      <c r="P18" s="5" t="s">
        <v>53</v>
      </c>
      <c r="Q18" s="5" t="s">
        <v>30</v>
      </c>
    </row>
    <row r="19" spans="1:17" ht="39">
      <c r="A19" s="14" t="s">
        <v>114</v>
      </c>
      <c r="B19" s="19" t="s">
        <v>91</v>
      </c>
      <c r="C19" s="5" t="s">
        <v>115</v>
      </c>
      <c r="D19" s="5">
        <v>5</v>
      </c>
      <c r="E19" s="4" t="s">
        <v>116</v>
      </c>
      <c r="F19" s="4" t="s">
        <v>34</v>
      </c>
      <c r="G19" s="4" t="s">
        <v>117</v>
      </c>
      <c r="H19" s="4" t="s">
        <v>118</v>
      </c>
      <c r="I19" s="4" t="s">
        <v>95</v>
      </c>
      <c r="J19" s="4" t="s">
        <v>96</v>
      </c>
      <c r="K19" s="5">
        <v>8</v>
      </c>
      <c r="L19" s="5" t="s">
        <v>26</v>
      </c>
      <c r="M19" s="5">
        <v>1</v>
      </c>
      <c r="N19" s="4" t="s">
        <v>97</v>
      </c>
      <c r="O19" s="5" t="s">
        <v>28</v>
      </c>
      <c r="P19" s="5" t="s">
        <v>53</v>
      </c>
      <c r="Q19" s="5" t="s">
        <v>30</v>
      </c>
    </row>
    <row r="20" spans="1:17" ht="285.95">
      <c r="A20" s="14" t="s">
        <v>119</v>
      </c>
      <c r="B20" s="19" t="s">
        <v>120</v>
      </c>
      <c r="C20" s="5" t="s">
        <v>19</v>
      </c>
      <c r="D20" s="5">
        <v>5</v>
      </c>
      <c r="E20" s="4" t="s">
        <v>121</v>
      </c>
      <c r="F20" s="4" t="s">
        <v>122</v>
      </c>
      <c r="G20" s="4" t="s">
        <v>123</v>
      </c>
      <c r="H20" s="4" t="s">
        <v>124</v>
      </c>
      <c r="I20" s="4" t="s">
        <v>125</v>
      </c>
      <c r="J20" s="4" t="s">
        <v>126</v>
      </c>
      <c r="K20" s="5">
        <v>2</v>
      </c>
      <c r="L20" s="5" t="s">
        <v>26</v>
      </c>
      <c r="M20" s="5">
        <v>1</v>
      </c>
      <c r="N20" s="4" t="s">
        <v>127</v>
      </c>
      <c r="O20" s="5" t="s">
        <v>28</v>
      </c>
      <c r="P20" s="5" t="s">
        <v>29</v>
      </c>
      <c r="Q20" s="5" t="s">
        <v>30</v>
      </c>
    </row>
    <row r="21" spans="1:17" ht="39">
      <c r="A21" s="14" t="s">
        <v>128</v>
      </c>
      <c r="B21" s="19" t="s">
        <v>120</v>
      </c>
      <c r="C21" s="5" t="s">
        <v>32</v>
      </c>
      <c r="D21" s="5">
        <v>4</v>
      </c>
      <c r="E21" s="4" t="s">
        <v>129</v>
      </c>
      <c r="F21" s="4" t="s">
        <v>34</v>
      </c>
      <c r="G21" s="4" t="s">
        <v>130</v>
      </c>
      <c r="H21" s="4" t="s">
        <v>131</v>
      </c>
      <c r="I21" s="4" t="s">
        <v>125</v>
      </c>
      <c r="J21" s="4" t="s">
        <v>126</v>
      </c>
      <c r="K21" s="5">
        <v>7</v>
      </c>
      <c r="L21" s="5" t="s">
        <v>26</v>
      </c>
      <c r="M21" s="5">
        <v>1</v>
      </c>
      <c r="N21" s="4" t="s">
        <v>127</v>
      </c>
      <c r="O21" s="5" t="s">
        <v>37</v>
      </c>
      <c r="P21" s="5" t="s">
        <v>38</v>
      </c>
      <c r="Q21" s="5" t="s">
        <v>30</v>
      </c>
    </row>
    <row r="22" spans="1:17" ht="117">
      <c r="A22" s="14" t="s">
        <v>132</v>
      </c>
      <c r="B22" s="19" t="s">
        <v>120</v>
      </c>
      <c r="C22" s="5" t="s">
        <v>19</v>
      </c>
      <c r="D22" s="5">
        <v>4</v>
      </c>
      <c r="E22" s="4" t="s">
        <v>133</v>
      </c>
      <c r="F22" s="4" t="s">
        <v>78</v>
      </c>
      <c r="G22" s="4" t="s">
        <v>134</v>
      </c>
      <c r="H22" s="4" t="s">
        <v>135</v>
      </c>
      <c r="I22" s="4" t="s">
        <v>125</v>
      </c>
      <c r="J22" s="4" t="s">
        <v>126</v>
      </c>
      <c r="K22" s="5">
        <v>2</v>
      </c>
      <c r="L22" s="5" t="s">
        <v>26</v>
      </c>
      <c r="M22" s="5">
        <v>1</v>
      </c>
      <c r="N22" s="4" t="s">
        <v>127</v>
      </c>
      <c r="O22" s="5" t="s">
        <v>37</v>
      </c>
      <c r="P22" s="5" t="s">
        <v>29</v>
      </c>
      <c r="Q22" s="5" t="s">
        <v>30</v>
      </c>
    </row>
    <row r="23" spans="1:17" ht="39.6" thickBot="1">
      <c r="A23" s="14" t="s">
        <v>136</v>
      </c>
      <c r="B23" s="19" t="s">
        <v>120</v>
      </c>
      <c r="C23" s="5" t="s">
        <v>55</v>
      </c>
      <c r="D23" s="5">
        <v>5</v>
      </c>
      <c r="E23" s="4" t="s">
        <v>137</v>
      </c>
      <c r="F23" s="4" t="s">
        <v>34</v>
      </c>
      <c r="G23" s="4" t="s">
        <v>138</v>
      </c>
      <c r="H23" s="4" t="s">
        <v>139</v>
      </c>
      <c r="I23" s="4" t="s">
        <v>125</v>
      </c>
      <c r="J23" s="4" t="s">
        <v>126</v>
      </c>
      <c r="K23" s="5">
        <v>8</v>
      </c>
      <c r="L23" s="5" t="s">
        <v>26</v>
      </c>
      <c r="M23" s="5">
        <v>1</v>
      </c>
      <c r="N23" s="4" t="s">
        <v>127</v>
      </c>
      <c r="O23" s="5" t="s">
        <v>28</v>
      </c>
      <c r="P23" s="5" t="s">
        <v>53</v>
      </c>
      <c r="Q23" s="5" t="s">
        <v>30</v>
      </c>
    </row>
    <row r="24" spans="1:17" ht="39">
      <c r="A24" s="12" t="s">
        <v>140</v>
      </c>
      <c r="B24" s="18" t="s">
        <v>120</v>
      </c>
      <c r="C24" s="3" t="s">
        <v>40</v>
      </c>
      <c r="D24" s="3">
        <v>4</v>
      </c>
      <c r="E24" s="2" t="s">
        <v>141</v>
      </c>
      <c r="F24" s="2" t="s">
        <v>34</v>
      </c>
      <c r="G24" s="2" t="s">
        <v>142</v>
      </c>
      <c r="H24" s="2" t="s">
        <v>143</v>
      </c>
      <c r="I24" s="2" t="s">
        <v>125</v>
      </c>
      <c r="J24" s="2" t="s">
        <v>126</v>
      </c>
      <c r="K24" s="3">
        <v>6</v>
      </c>
      <c r="L24" s="3" t="s">
        <v>26</v>
      </c>
      <c r="M24" s="3">
        <v>1</v>
      </c>
      <c r="N24" s="2" t="s">
        <v>127</v>
      </c>
      <c r="O24" s="3" t="s">
        <v>37</v>
      </c>
      <c r="P24" s="3" t="s">
        <v>38</v>
      </c>
      <c r="Q24" s="3" t="s">
        <v>30</v>
      </c>
    </row>
    <row r="25" spans="1:17" ht="39">
      <c r="A25" s="14" t="s">
        <v>144</v>
      </c>
      <c r="B25" s="19" t="s">
        <v>120</v>
      </c>
      <c r="C25" s="5" t="s">
        <v>145</v>
      </c>
      <c r="D25" s="5">
        <v>5</v>
      </c>
      <c r="E25" s="4" t="s">
        <v>146</v>
      </c>
      <c r="F25" s="4" t="s">
        <v>34</v>
      </c>
      <c r="G25" s="4" t="s">
        <v>147</v>
      </c>
      <c r="H25" s="4" t="s">
        <v>148</v>
      </c>
      <c r="I25" s="4" t="s">
        <v>125</v>
      </c>
      <c r="J25" s="4" t="s">
        <v>126</v>
      </c>
      <c r="K25" s="5">
        <v>7</v>
      </c>
      <c r="L25" s="5" t="s">
        <v>26</v>
      </c>
      <c r="M25" s="5">
        <v>1</v>
      </c>
      <c r="N25" s="4" t="s">
        <v>127</v>
      </c>
      <c r="O25" s="5" t="s">
        <v>28</v>
      </c>
      <c r="P25" s="5" t="s">
        <v>53</v>
      </c>
      <c r="Q25" s="5" t="s">
        <v>30</v>
      </c>
    </row>
    <row r="26" spans="1:17" ht="246.95">
      <c r="A26" s="14" t="s">
        <v>149</v>
      </c>
      <c r="B26" s="19" t="s">
        <v>150</v>
      </c>
      <c r="C26" s="5" t="s">
        <v>19</v>
      </c>
      <c r="D26" s="5">
        <v>5</v>
      </c>
      <c r="E26" s="4" t="s">
        <v>151</v>
      </c>
      <c r="F26" s="4" t="s">
        <v>21</v>
      </c>
      <c r="G26" s="4" t="s">
        <v>152</v>
      </c>
      <c r="H26" s="4" t="s">
        <v>153</v>
      </c>
      <c r="I26" s="4" t="s">
        <v>154</v>
      </c>
      <c r="J26" s="4" t="s">
        <v>155</v>
      </c>
      <c r="K26" s="5">
        <v>2</v>
      </c>
      <c r="L26" s="5" t="s">
        <v>26</v>
      </c>
      <c r="M26" s="5">
        <v>1</v>
      </c>
      <c r="N26" s="4" t="s">
        <v>156</v>
      </c>
      <c r="O26" s="5" t="s">
        <v>28</v>
      </c>
      <c r="P26" s="5" t="s">
        <v>29</v>
      </c>
      <c r="Q26" s="5" t="s">
        <v>30</v>
      </c>
    </row>
    <row r="27" spans="1:17" ht="39.6" thickBot="1">
      <c r="A27" s="14" t="s">
        <v>157</v>
      </c>
      <c r="B27" s="19" t="s">
        <v>150</v>
      </c>
      <c r="C27" s="5" t="s">
        <v>158</v>
      </c>
      <c r="D27" s="5">
        <v>4</v>
      </c>
      <c r="E27" s="4" t="s">
        <v>159</v>
      </c>
      <c r="F27" s="4" t="s">
        <v>34</v>
      </c>
      <c r="G27" s="4" t="s">
        <v>160</v>
      </c>
      <c r="H27" s="4" t="s">
        <v>161</v>
      </c>
      <c r="I27" s="4" t="s">
        <v>154</v>
      </c>
      <c r="J27" s="4" t="s">
        <v>155</v>
      </c>
      <c r="K27" s="5">
        <v>5</v>
      </c>
      <c r="L27" s="5" t="s">
        <v>26</v>
      </c>
      <c r="M27" s="5">
        <v>1</v>
      </c>
      <c r="N27" s="4" t="s">
        <v>156</v>
      </c>
      <c r="O27" s="5" t="s">
        <v>37</v>
      </c>
      <c r="P27" s="5" t="s">
        <v>38</v>
      </c>
      <c r="Q27" s="5" t="s">
        <v>30</v>
      </c>
    </row>
    <row r="28" spans="1:17" ht="104.1">
      <c r="A28" s="12" t="s">
        <v>162</v>
      </c>
      <c r="B28" s="18" t="s">
        <v>150</v>
      </c>
      <c r="C28" s="3" t="s">
        <v>19</v>
      </c>
      <c r="D28" s="3">
        <v>4</v>
      </c>
      <c r="E28" s="2" t="s">
        <v>163</v>
      </c>
      <c r="F28" s="2" t="s">
        <v>62</v>
      </c>
      <c r="G28" s="2" t="s">
        <v>164</v>
      </c>
      <c r="H28" s="2" t="s">
        <v>165</v>
      </c>
      <c r="I28" s="2" t="s">
        <v>154</v>
      </c>
      <c r="J28" s="2" t="s">
        <v>155</v>
      </c>
      <c r="K28" s="3">
        <v>2</v>
      </c>
      <c r="L28" s="3" t="s">
        <v>26</v>
      </c>
      <c r="M28" s="3">
        <v>1</v>
      </c>
      <c r="N28" s="2" t="s">
        <v>156</v>
      </c>
      <c r="O28" s="3" t="s">
        <v>37</v>
      </c>
      <c r="P28" s="3" t="s">
        <v>29</v>
      </c>
      <c r="Q28" s="3" t="s">
        <v>30</v>
      </c>
    </row>
    <row r="29" spans="1:17" ht="39">
      <c r="A29" s="14" t="s">
        <v>166</v>
      </c>
      <c r="B29" s="19" t="s">
        <v>150</v>
      </c>
      <c r="C29" s="5" t="s">
        <v>32</v>
      </c>
      <c r="D29" s="5">
        <v>5</v>
      </c>
      <c r="E29" s="4" t="s">
        <v>167</v>
      </c>
      <c r="F29" s="4" t="s">
        <v>34</v>
      </c>
      <c r="G29" s="4" t="s">
        <v>168</v>
      </c>
      <c r="H29" s="4" t="s">
        <v>169</v>
      </c>
      <c r="I29" s="4" t="s">
        <v>154</v>
      </c>
      <c r="J29" s="4" t="s">
        <v>155</v>
      </c>
      <c r="K29" s="5">
        <v>8</v>
      </c>
      <c r="L29" s="5" t="s">
        <v>26</v>
      </c>
      <c r="M29" s="5">
        <v>1</v>
      </c>
      <c r="N29" s="4" t="s">
        <v>156</v>
      </c>
      <c r="O29" s="5" t="s">
        <v>28</v>
      </c>
      <c r="P29" s="5" t="s">
        <v>53</v>
      </c>
      <c r="Q29" s="5" t="s">
        <v>30</v>
      </c>
    </row>
    <row r="30" spans="1:17" ht="39">
      <c r="A30" s="14" t="s">
        <v>170</v>
      </c>
      <c r="B30" s="19" t="s">
        <v>150</v>
      </c>
      <c r="C30" s="5" t="s">
        <v>115</v>
      </c>
      <c r="D30" s="5">
        <v>5</v>
      </c>
      <c r="E30" s="4" t="s">
        <v>171</v>
      </c>
      <c r="F30" s="4" t="s">
        <v>34</v>
      </c>
      <c r="G30" s="4" t="s">
        <v>172</v>
      </c>
      <c r="H30" s="4" t="s">
        <v>173</v>
      </c>
      <c r="I30" s="4" t="s">
        <v>154</v>
      </c>
      <c r="J30" s="4" t="s">
        <v>155</v>
      </c>
      <c r="K30" s="5">
        <v>9</v>
      </c>
      <c r="L30" s="5" t="s">
        <v>26</v>
      </c>
      <c r="M30" s="5">
        <v>1</v>
      </c>
      <c r="N30" s="4" t="s">
        <v>156</v>
      </c>
      <c r="O30" s="5" t="s">
        <v>28</v>
      </c>
      <c r="P30" s="5" t="s">
        <v>53</v>
      </c>
      <c r="Q30" s="5" t="s">
        <v>30</v>
      </c>
    </row>
    <row r="31" spans="1:17" ht="39">
      <c r="A31" s="14" t="s">
        <v>174</v>
      </c>
      <c r="B31" s="19" t="s">
        <v>150</v>
      </c>
      <c r="C31" s="5" t="s">
        <v>55</v>
      </c>
      <c r="D31" s="5">
        <v>4</v>
      </c>
      <c r="E31" s="4" t="s">
        <v>175</v>
      </c>
      <c r="F31" s="4" t="s">
        <v>34</v>
      </c>
      <c r="G31" s="4" t="s">
        <v>176</v>
      </c>
      <c r="H31" s="4" t="s">
        <v>177</v>
      </c>
      <c r="I31" s="4" t="s">
        <v>154</v>
      </c>
      <c r="J31" s="4" t="s">
        <v>155</v>
      </c>
      <c r="K31" s="5">
        <v>7</v>
      </c>
      <c r="L31" s="5" t="s">
        <v>26</v>
      </c>
      <c r="M31" s="5">
        <v>1</v>
      </c>
      <c r="N31" s="4" t="s">
        <v>156</v>
      </c>
      <c r="O31" s="5" t="s">
        <v>37</v>
      </c>
      <c r="P31" s="5" t="s">
        <v>38</v>
      </c>
      <c r="Q31" s="5" t="s">
        <v>30</v>
      </c>
    </row>
    <row r="32" spans="1:17" ht="285.95">
      <c r="A32" s="14" t="s">
        <v>178</v>
      </c>
      <c r="B32" s="19" t="s">
        <v>179</v>
      </c>
      <c r="C32" s="5" t="s">
        <v>19</v>
      </c>
      <c r="D32" s="5">
        <v>5</v>
      </c>
      <c r="E32" s="4" t="s">
        <v>180</v>
      </c>
      <c r="F32" s="4" t="s">
        <v>62</v>
      </c>
      <c r="G32" s="4" t="s">
        <v>181</v>
      </c>
      <c r="H32" s="4" t="s">
        <v>182</v>
      </c>
      <c r="I32" s="4" t="s">
        <v>183</v>
      </c>
      <c r="J32" s="4" t="s">
        <v>184</v>
      </c>
      <c r="K32" s="5">
        <v>2</v>
      </c>
      <c r="L32" s="5" t="s">
        <v>26</v>
      </c>
      <c r="M32" s="5">
        <v>1</v>
      </c>
      <c r="N32" s="4" t="s">
        <v>185</v>
      </c>
      <c r="O32" s="5" t="s">
        <v>28</v>
      </c>
      <c r="P32" s="5" t="s">
        <v>29</v>
      </c>
      <c r="Q32" s="5" t="s">
        <v>30</v>
      </c>
    </row>
    <row r="33" spans="1:17" ht="39">
      <c r="A33" s="14" t="s">
        <v>186</v>
      </c>
      <c r="B33" s="19" t="s">
        <v>179</v>
      </c>
      <c r="C33" s="5" t="s">
        <v>82</v>
      </c>
      <c r="D33" s="5">
        <v>5</v>
      </c>
      <c r="E33" s="4" t="s">
        <v>187</v>
      </c>
      <c r="F33" s="4" t="s">
        <v>34</v>
      </c>
      <c r="G33" s="4" t="s">
        <v>188</v>
      </c>
      <c r="H33" s="4" t="s">
        <v>189</v>
      </c>
      <c r="I33" s="4" t="s">
        <v>183</v>
      </c>
      <c r="J33" s="4" t="s">
        <v>184</v>
      </c>
      <c r="K33" s="5">
        <v>10</v>
      </c>
      <c r="L33" s="5" t="s">
        <v>26</v>
      </c>
      <c r="M33" s="5">
        <v>1</v>
      </c>
      <c r="N33" s="4" t="s">
        <v>185</v>
      </c>
      <c r="O33" s="5" t="s">
        <v>28</v>
      </c>
      <c r="P33" s="5" t="s">
        <v>53</v>
      </c>
      <c r="Q33" s="5" t="s">
        <v>30</v>
      </c>
    </row>
    <row r="34" spans="1:17" ht="117.6" thickBot="1">
      <c r="A34" s="14" t="s">
        <v>190</v>
      </c>
      <c r="B34" s="19" t="s">
        <v>179</v>
      </c>
      <c r="C34" s="5" t="s">
        <v>19</v>
      </c>
      <c r="D34" s="5">
        <v>5</v>
      </c>
      <c r="E34" s="4" t="s">
        <v>191</v>
      </c>
      <c r="F34" s="4" t="s">
        <v>62</v>
      </c>
      <c r="G34" s="4" t="s">
        <v>192</v>
      </c>
      <c r="H34" s="4" t="s">
        <v>193</v>
      </c>
      <c r="I34" s="4" t="s">
        <v>183</v>
      </c>
      <c r="J34" s="4" t="s">
        <v>184</v>
      </c>
      <c r="K34" s="5">
        <v>2</v>
      </c>
      <c r="L34" s="5" t="s">
        <v>26</v>
      </c>
      <c r="M34" s="5">
        <v>1</v>
      </c>
      <c r="N34" s="4" t="s">
        <v>185</v>
      </c>
      <c r="O34" s="5" t="s">
        <v>28</v>
      </c>
      <c r="P34" s="5" t="s">
        <v>29</v>
      </c>
      <c r="Q34" s="5" t="s">
        <v>30</v>
      </c>
    </row>
    <row r="35" spans="1:17" ht="39">
      <c r="A35" s="12" t="s">
        <v>194</v>
      </c>
      <c r="B35" s="18" t="s">
        <v>179</v>
      </c>
      <c r="C35" s="3" t="s">
        <v>40</v>
      </c>
      <c r="D35" s="3">
        <v>5</v>
      </c>
      <c r="E35" s="2" t="s">
        <v>195</v>
      </c>
      <c r="F35" s="2" t="s">
        <v>34</v>
      </c>
      <c r="G35" s="2" t="s">
        <v>196</v>
      </c>
      <c r="H35" s="2" t="s">
        <v>197</v>
      </c>
      <c r="I35" s="2" t="s">
        <v>183</v>
      </c>
      <c r="J35" s="2" t="s">
        <v>184</v>
      </c>
      <c r="K35" s="3">
        <v>7</v>
      </c>
      <c r="L35" s="3" t="s">
        <v>26</v>
      </c>
      <c r="M35" s="3">
        <v>1</v>
      </c>
      <c r="N35" s="2" t="s">
        <v>185</v>
      </c>
      <c r="O35" s="3" t="s">
        <v>28</v>
      </c>
      <c r="P35" s="3" t="s">
        <v>38</v>
      </c>
      <c r="Q35" s="3" t="s">
        <v>30</v>
      </c>
    </row>
    <row r="36" spans="1:17" ht="39">
      <c r="A36" s="14" t="s">
        <v>198</v>
      </c>
      <c r="B36" s="19" t="s">
        <v>179</v>
      </c>
      <c r="C36" s="5" t="s">
        <v>32</v>
      </c>
      <c r="D36" s="5">
        <v>4</v>
      </c>
      <c r="E36" s="4" t="s">
        <v>199</v>
      </c>
      <c r="F36" s="4" t="s">
        <v>34</v>
      </c>
      <c r="G36" s="4" t="s">
        <v>200</v>
      </c>
      <c r="H36" s="4" t="s">
        <v>201</v>
      </c>
      <c r="I36" s="4" t="s">
        <v>183</v>
      </c>
      <c r="J36" s="4" t="s">
        <v>184</v>
      </c>
      <c r="K36" s="5">
        <v>6</v>
      </c>
      <c r="L36" s="5" t="s">
        <v>26</v>
      </c>
      <c r="M36" s="5">
        <v>1</v>
      </c>
      <c r="N36" s="4" t="s">
        <v>185</v>
      </c>
      <c r="O36" s="5" t="s">
        <v>37</v>
      </c>
      <c r="P36" s="5" t="s">
        <v>38</v>
      </c>
      <c r="Q36" s="5" t="s">
        <v>30</v>
      </c>
    </row>
    <row r="37" spans="1:17" ht="39">
      <c r="A37" s="14" t="s">
        <v>202</v>
      </c>
      <c r="B37" s="19" t="s">
        <v>179</v>
      </c>
      <c r="C37" s="5" t="s">
        <v>115</v>
      </c>
      <c r="D37" s="5">
        <v>5</v>
      </c>
      <c r="E37" s="4" t="s">
        <v>203</v>
      </c>
      <c r="F37" s="4" t="s">
        <v>34</v>
      </c>
      <c r="G37" s="4" t="s">
        <v>204</v>
      </c>
      <c r="H37" s="4" t="s">
        <v>205</v>
      </c>
      <c r="I37" s="4" t="s">
        <v>183</v>
      </c>
      <c r="J37" s="4" t="s">
        <v>184</v>
      </c>
      <c r="K37" s="5">
        <v>9</v>
      </c>
      <c r="L37" s="5" t="s">
        <v>26</v>
      </c>
      <c r="M37" s="5">
        <v>1</v>
      </c>
      <c r="N37" s="4" t="s">
        <v>185</v>
      </c>
      <c r="O37" s="5" t="s">
        <v>28</v>
      </c>
      <c r="P37" s="5" t="s">
        <v>53</v>
      </c>
      <c r="Q37" s="5" t="s">
        <v>30</v>
      </c>
    </row>
    <row r="38" spans="1:17" ht="273">
      <c r="A38" s="14" t="s">
        <v>206</v>
      </c>
      <c r="B38" s="19" t="s">
        <v>207</v>
      </c>
      <c r="C38" s="5" t="s">
        <v>19</v>
      </c>
      <c r="D38" s="5">
        <v>5</v>
      </c>
      <c r="E38" s="4" t="s">
        <v>208</v>
      </c>
      <c r="F38" s="4" t="s">
        <v>78</v>
      </c>
      <c r="G38" s="4" t="s">
        <v>209</v>
      </c>
      <c r="H38" s="4" t="s">
        <v>210</v>
      </c>
      <c r="I38" s="4" t="s">
        <v>211</v>
      </c>
      <c r="J38" s="4" t="s">
        <v>212</v>
      </c>
      <c r="K38" s="5">
        <v>2</v>
      </c>
      <c r="L38" s="5" t="s">
        <v>26</v>
      </c>
      <c r="M38" s="5">
        <v>1</v>
      </c>
      <c r="N38" s="4" t="s">
        <v>213</v>
      </c>
      <c r="O38" s="5" t="s">
        <v>28</v>
      </c>
      <c r="P38" s="5" t="s">
        <v>29</v>
      </c>
      <c r="Q38" s="5" t="s">
        <v>30</v>
      </c>
    </row>
    <row r="39" spans="1:17" ht="39">
      <c r="A39" s="14" t="s">
        <v>214</v>
      </c>
      <c r="B39" s="19" t="s">
        <v>207</v>
      </c>
      <c r="C39" s="5" t="s">
        <v>32</v>
      </c>
      <c r="D39" s="5">
        <v>4</v>
      </c>
      <c r="E39" s="4" t="s">
        <v>215</v>
      </c>
      <c r="F39" s="4" t="s">
        <v>34</v>
      </c>
      <c r="G39" s="4" t="s">
        <v>216</v>
      </c>
      <c r="H39" s="4" t="s">
        <v>217</v>
      </c>
      <c r="I39" s="4" t="s">
        <v>211</v>
      </c>
      <c r="J39" s="4" t="s">
        <v>212</v>
      </c>
      <c r="K39" s="5">
        <v>6</v>
      </c>
      <c r="L39" s="5" t="s">
        <v>26</v>
      </c>
      <c r="M39" s="5">
        <v>1</v>
      </c>
      <c r="N39" s="4" t="s">
        <v>213</v>
      </c>
      <c r="O39" s="5" t="s">
        <v>37</v>
      </c>
      <c r="P39" s="5" t="s">
        <v>38</v>
      </c>
      <c r="Q39" s="5" t="s">
        <v>30</v>
      </c>
    </row>
    <row r="40" spans="1:17" ht="104.1">
      <c r="A40" s="14" t="s">
        <v>218</v>
      </c>
      <c r="B40" s="19" t="s">
        <v>207</v>
      </c>
      <c r="C40" s="5" t="s">
        <v>19</v>
      </c>
      <c r="D40" s="5">
        <v>4</v>
      </c>
      <c r="E40" s="4" t="s">
        <v>219</v>
      </c>
      <c r="F40" s="4" t="s">
        <v>62</v>
      </c>
      <c r="G40" s="4" t="s">
        <v>220</v>
      </c>
      <c r="H40" s="4" t="s">
        <v>221</v>
      </c>
      <c r="I40" s="4" t="s">
        <v>211</v>
      </c>
      <c r="J40" s="4" t="s">
        <v>212</v>
      </c>
      <c r="K40" s="5">
        <v>2</v>
      </c>
      <c r="L40" s="5" t="s">
        <v>26</v>
      </c>
      <c r="M40" s="5">
        <v>1</v>
      </c>
      <c r="N40" s="4" t="s">
        <v>213</v>
      </c>
      <c r="O40" s="5" t="s">
        <v>37</v>
      </c>
      <c r="P40" s="5" t="s">
        <v>29</v>
      </c>
      <c r="Q40" s="5" t="s">
        <v>30</v>
      </c>
    </row>
    <row r="41" spans="1:17" ht="39.6" thickBot="1">
      <c r="A41" s="14" t="s">
        <v>222</v>
      </c>
      <c r="B41" s="19" t="s">
        <v>207</v>
      </c>
      <c r="C41" s="5" t="s">
        <v>55</v>
      </c>
      <c r="D41" s="5">
        <v>5</v>
      </c>
      <c r="E41" s="4" t="s">
        <v>223</v>
      </c>
      <c r="F41" s="4" t="s">
        <v>34</v>
      </c>
      <c r="G41" s="4" t="s">
        <v>224</v>
      </c>
      <c r="H41" s="4" t="s">
        <v>225</v>
      </c>
      <c r="I41" s="4" t="s">
        <v>211</v>
      </c>
      <c r="J41" s="4" t="s">
        <v>212</v>
      </c>
      <c r="K41" s="5">
        <v>8</v>
      </c>
      <c r="L41" s="5" t="s">
        <v>26</v>
      </c>
      <c r="M41" s="5">
        <v>1</v>
      </c>
      <c r="N41" s="4" t="s">
        <v>213</v>
      </c>
      <c r="O41" s="5" t="s">
        <v>28</v>
      </c>
      <c r="P41" s="5" t="s">
        <v>53</v>
      </c>
      <c r="Q41" s="5" t="s">
        <v>30</v>
      </c>
    </row>
    <row r="42" spans="1:17" ht="51.95">
      <c r="A42" s="12" t="s">
        <v>226</v>
      </c>
      <c r="B42" s="18" t="s">
        <v>207</v>
      </c>
      <c r="C42" s="3" t="s">
        <v>115</v>
      </c>
      <c r="D42" s="3">
        <v>5</v>
      </c>
      <c r="E42" s="2" t="s">
        <v>227</v>
      </c>
      <c r="F42" s="2" t="s">
        <v>34</v>
      </c>
      <c r="G42" s="2" t="s">
        <v>228</v>
      </c>
      <c r="H42" s="2" t="s">
        <v>229</v>
      </c>
      <c r="I42" s="2" t="s">
        <v>211</v>
      </c>
      <c r="J42" s="2" t="s">
        <v>212</v>
      </c>
      <c r="K42" s="3">
        <v>8</v>
      </c>
      <c r="L42" s="3" t="s">
        <v>26</v>
      </c>
      <c r="M42" s="3">
        <v>1</v>
      </c>
      <c r="N42" s="2" t="s">
        <v>213</v>
      </c>
      <c r="O42" s="3" t="s">
        <v>28</v>
      </c>
      <c r="P42" s="3" t="s">
        <v>53</v>
      </c>
      <c r="Q42" s="3" t="s">
        <v>30</v>
      </c>
    </row>
    <row r="43" spans="1:17" ht="39">
      <c r="A43" s="14" t="s">
        <v>230</v>
      </c>
      <c r="B43" s="19" t="s">
        <v>207</v>
      </c>
      <c r="C43" s="5" t="s">
        <v>49</v>
      </c>
      <c r="D43" s="5">
        <v>5</v>
      </c>
      <c r="E43" s="4" t="s">
        <v>231</v>
      </c>
      <c r="F43" s="4" t="s">
        <v>34</v>
      </c>
      <c r="G43" s="4" t="s">
        <v>232</v>
      </c>
      <c r="H43" s="4" t="s">
        <v>233</v>
      </c>
      <c r="I43" s="4" t="s">
        <v>211</v>
      </c>
      <c r="J43" s="4" t="s">
        <v>212</v>
      </c>
      <c r="K43" s="5">
        <v>8</v>
      </c>
      <c r="L43" s="5" t="s">
        <v>26</v>
      </c>
      <c r="M43" s="5">
        <v>1</v>
      </c>
      <c r="N43" s="4" t="s">
        <v>213</v>
      </c>
      <c r="O43" s="5" t="s">
        <v>28</v>
      </c>
      <c r="P43" s="5" t="s">
        <v>53</v>
      </c>
      <c r="Q43" s="5" t="s">
        <v>30</v>
      </c>
    </row>
    <row r="44" spans="1:17" ht="273">
      <c r="A44" s="14" t="s">
        <v>234</v>
      </c>
      <c r="B44" s="19" t="s">
        <v>235</v>
      </c>
      <c r="C44" s="5" t="s">
        <v>19</v>
      </c>
      <c r="D44" s="5">
        <v>5</v>
      </c>
      <c r="E44" s="4" t="s">
        <v>236</v>
      </c>
      <c r="F44" s="4" t="s">
        <v>122</v>
      </c>
      <c r="G44" s="4" t="s">
        <v>237</v>
      </c>
      <c r="H44" s="4" t="s">
        <v>238</v>
      </c>
      <c r="I44" s="4" t="s">
        <v>239</v>
      </c>
      <c r="J44" s="4" t="s">
        <v>240</v>
      </c>
      <c r="K44" s="5">
        <v>2</v>
      </c>
      <c r="L44" s="5" t="s">
        <v>26</v>
      </c>
      <c r="M44" s="5">
        <v>1</v>
      </c>
      <c r="N44" s="4" t="s">
        <v>241</v>
      </c>
      <c r="O44" s="5" t="s">
        <v>28</v>
      </c>
      <c r="P44" s="5" t="s">
        <v>29</v>
      </c>
      <c r="Q44" s="5" t="s">
        <v>30</v>
      </c>
    </row>
    <row r="45" spans="1:17" ht="117">
      <c r="A45" s="14" t="s">
        <v>242</v>
      </c>
      <c r="B45" s="19" t="s">
        <v>235</v>
      </c>
      <c r="C45" s="5" t="s">
        <v>19</v>
      </c>
      <c r="D45" s="5">
        <v>4</v>
      </c>
      <c r="E45" s="4" t="s">
        <v>243</v>
      </c>
      <c r="F45" s="4" t="s">
        <v>62</v>
      </c>
      <c r="G45" s="4" t="s">
        <v>244</v>
      </c>
      <c r="H45" s="4" t="s">
        <v>245</v>
      </c>
      <c r="I45" s="4" t="s">
        <v>239</v>
      </c>
      <c r="J45" s="4" t="s">
        <v>240</v>
      </c>
      <c r="K45" s="5">
        <v>2</v>
      </c>
      <c r="L45" s="5" t="s">
        <v>26</v>
      </c>
      <c r="M45" s="5">
        <v>1</v>
      </c>
      <c r="N45" s="4" t="s">
        <v>241</v>
      </c>
      <c r="O45" s="5" t="s">
        <v>37</v>
      </c>
      <c r="P45" s="5" t="s">
        <v>29</v>
      </c>
      <c r="Q45" s="5" t="s">
        <v>30</v>
      </c>
    </row>
    <row r="46" spans="1:17" ht="39">
      <c r="A46" s="14" t="s">
        <v>246</v>
      </c>
      <c r="B46" s="19" t="s">
        <v>235</v>
      </c>
      <c r="C46" s="5" t="s">
        <v>40</v>
      </c>
      <c r="D46" s="5">
        <v>5</v>
      </c>
      <c r="E46" s="4" t="s">
        <v>247</v>
      </c>
      <c r="F46" s="4" t="s">
        <v>34</v>
      </c>
      <c r="G46" s="4" t="s">
        <v>248</v>
      </c>
      <c r="H46" s="4" t="s">
        <v>249</v>
      </c>
      <c r="I46" s="4" t="s">
        <v>239</v>
      </c>
      <c r="J46" s="4" t="s">
        <v>240</v>
      </c>
      <c r="K46" s="5">
        <v>8</v>
      </c>
      <c r="L46" s="5" t="s">
        <v>26</v>
      </c>
      <c r="M46" s="5">
        <v>1</v>
      </c>
      <c r="N46" s="4" t="s">
        <v>241</v>
      </c>
      <c r="O46" s="5" t="s">
        <v>28</v>
      </c>
      <c r="P46" s="5" t="s">
        <v>53</v>
      </c>
      <c r="Q46" s="5" t="s">
        <v>30</v>
      </c>
    </row>
    <row r="47" spans="1:17" ht="51.95">
      <c r="A47" s="14" t="s">
        <v>250</v>
      </c>
      <c r="B47" s="19" t="s">
        <v>235</v>
      </c>
      <c r="C47" s="5" t="s">
        <v>115</v>
      </c>
      <c r="D47" s="5">
        <v>5</v>
      </c>
      <c r="E47" s="4" t="s">
        <v>251</v>
      </c>
      <c r="F47" s="4" t="s">
        <v>34</v>
      </c>
      <c r="G47" s="4" t="s">
        <v>252</v>
      </c>
      <c r="H47" s="4" t="s">
        <v>253</v>
      </c>
      <c r="I47" s="4" t="s">
        <v>239</v>
      </c>
      <c r="J47" s="4" t="s">
        <v>240</v>
      </c>
      <c r="K47" s="5">
        <v>9</v>
      </c>
      <c r="L47" s="5" t="s">
        <v>26</v>
      </c>
      <c r="M47" s="5">
        <v>1</v>
      </c>
      <c r="N47" s="4" t="s">
        <v>241</v>
      </c>
      <c r="O47" s="5" t="s">
        <v>28</v>
      </c>
      <c r="P47" s="5" t="s">
        <v>53</v>
      </c>
      <c r="Q47" s="5" t="s">
        <v>30</v>
      </c>
    </row>
    <row r="48" spans="1:17" ht="39">
      <c r="A48" s="14" t="s">
        <v>254</v>
      </c>
      <c r="B48" s="19" t="s">
        <v>235</v>
      </c>
      <c r="C48" s="5" t="s">
        <v>55</v>
      </c>
      <c r="D48" s="5">
        <v>4</v>
      </c>
      <c r="E48" s="4" t="s">
        <v>255</v>
      </c>
      <c r="F48" s="4" t="s">
        <v>34</v>
      </c>
      <c r="G48" s="4" t="s">
        <v>256</v>
      </c>
      <c r="H48" s="4" t="s">
        <v>257</v>
      </c>
      <c r="I48" s="4" t="s">
        <v>239</v>
      </c>
      <c r="J48" s="4" t="s">
        <v>240</v>
      </c>
      <c r="K48" s="5">
        <v>6</v>
      </c>
      <c r="L48" s="5" t="s">
        <v>26</v>
      </c>
      <c r="M48" s="5">
        <v>1</v>
      </c>
      <c r="N48" s="4" t="s">
        <v>241</v>
      </c>
      <c r="O48" s="5" t="s">
        <v>37</v>
      </c>
      <c r="P48" s="5" t="s">
        <v>38</v>
      </c>
      <c r="Q48" s="5" t="s">
        <v>30</v>
      </c>
    </row>
    <row r="49" spans="1:17" ht="39">
      <c r="A49" s="14" t="s">
        <v>258</v>
      </c>
      <c r="B49" s="19" t="s">
        <v>235</v>
      </c>
      <c r="C49" s="5" t="s">
        <v>145</v>
      </c>
      <c r="D49" s="5">
        <v>5</v>
      </c>
      <c r="E49" s="4" t="s">
        <v>259</v>
      </c>
      <c r="F49" s="4" t="s">
        <v>34</v>
      </c>
      <c r="G49" s="4" t="s">
        <v>260</v>
      </c>
      <c r="H49" s="4" t="s">
        <v>261</v>
      </c>
      <c r="I49" s="4" t="s">
        <v>239</v>
      </c>
      <c r="J49" s="4" t="s">
        <v>240</v>
      </c>
      <c r="K49" s="5">
        <v>7</v>
      </c>
      <c r="L49" s="5" t="s">
        <v>26</v>
      </c>
      <c r="M49" s="5">
        <v>1</v>
      </c>
      <c r="N49" s="4" t="s">
        <v>241</v>
      </c>
      <c r="O49" s="5" t="s">
        <v>28</v>
      </c>
      <c r="P49" s="5" t="s">
        <v>53</v>
      </c>
      <c r="Q49" s="5" t="s">
        <v>30</v>
      </c>
    </row>
    <row r="50" spans="1:17" ht="260.10000000000002">
      <c r="A50" s="14" t="s">
        <v>262</v>
      </c>
      <c r="B50" s="19" t="s">
        <v>263</v>
      </c>
      <c r="C50" s="5" t="s">
        <v>19</v>
      </c>
      <c r="D50" s="5">
        <v>4</v>
      </c>
      <c r="E50" s="4" t="s">
        <v>264</v>
      </c>
      <c r="F50" s="4" t="s">
        <v>21</v>
      </c>
      <c r="G50" s="4" t="s">
        <v>265</v>
      </c>
      <c r="H50" s="4" t="s">
        <v>266</v>
      </c>
      <c r="I50" s="4" t="s">
        <v>267</v>
      </c>
      <c r="J50" s="4" t="s">
        <v>268</v>
      </c>
      <c r="K50" s="5">
        <v>2</v>
      </c>
      <c r="L50" s="5" t="s">
        <v>26</v>
      </c>
      <c r="M50" s="5">
        <v>1</v>
      </c>
      <c r="N50" s="4" t="s">
        <v>269</v>
      </c>
      <c r="O50" s="5" t="s">
        <v>37</v>
      </c>
      <c r="P50" s="5" t="s">
        <v>29</v>
      </c>
      <c r="Q50" s="5" t="s">
        <v>30</v>
      </c>
    </row>
    <row r="51" spans="1:17" ht="39">
      <c r="A51" s="14" t="s">
        <v>270</v>
      </c>
      <c r="B51" s="19" t="s">
        <v>263</v>
      </c>
      <c r="C51" s="5" t="s">
        <v>40</v>
      </c>
      <c r="D51" s="5">
        <v>5</v>
      </c>
      <c r="E51" s="4" t="s">
        <v>271</v>
      </c>
      <c r="F51" s="4" t="s">
        <v>34</v>
      </c>
      <c r="G51" s="4" t="s">
        <v>272</v>
      </c>
      <c r="H51" s="4" t="s">
        <v>273</v>
      </c>
      <c r="I51" s="4" t="s">
        <v>267</v>
      </c>
      <c r="J51" s="4" t="s">
        <v>268</v>
      </c>
      <c r="K51" s="5">
        <v>8</v>
      </c>
      <c r="L51" s="5" t="s">
        <v>26</v>
      </c>
      <c r="M51" s="5">
        <v>1</v>
      </c>
      <c r="N51" s="4" t="s">
        <v>269</v>
      </c>
      <c r="O51" s="5" t="s">
        <v>28</v>
      </c>
      <c r="P51" s="5" t="s">
        <v>53</v>
      </c>
      <c r="Q51" s="5" t="s">
        <v>30</v>
      </c>
    </row>
    <row r="52" spans="1:17" ht="117">
      <c r="A52" s="14" t="s">
        <v>274</v>
      </c>
      <c r="B52" s="19" t="s">
        <v>263</v>
      </c>
      <c r="C52" s="5" t="s">
        <v>19</v>
      </c>
      <c r="D52" s="5">
        <v>4</v>
      </c>
      <c r="E52" s="4" t="s">
        <v>275</v>
      </c>
      <c r="F52" s="4" t="s">
        <v>78</v>
      </c>
      <c r="G52" s="4" t="s">
        <v>276</v>
      </c>
      <c r="H52" s="4" t="s">
        <v>277</v>
      </c>
      <c r="I52" s="4" t="s">
        <v>267</v>
      </c>
      <c r="J52" s="4" t="s">
        <v>268</v>
      </c>
      <c r="K52" s="5">
        <v>2</v>
      </c>
      <c r="L52" s="5" t="s">
        <v>26</v>
      </c>
      <c r="M52" s="5">
        <v>1</v>
      </c>
      <c r="N52" s="4" t="s">
        <v>269</v>
      </c>
      <c r="O52" s="5" t="s">
        <v>37</v>
      </c>
      <c r="P52" s="5" t="s">
        <v>29</v>
      </c>
      <c r="Q52" s="5" t="s">
        <v>30</v>
      </c>
    </row>
    <row r="53" spans="1:17" ht="39.6" thickBot="1">
      <c r="A53" s="14" t="s">
        <v>278</v>
      </c>
      <c r="B53" s="19" t="s">
        <v>263</v>
      </c>
      <c r="C53" s="5" t="s">
        <v>145</v>
      </c>
      <c r="D53" s="5">
        <v>5</v>
      </c>
      <c r="E53" s="4" t="s">
        <v>279</v>
      </c>
      <c r="F53" s="4" t="s">
        <v>34</v>
      </c>
      <c r="G53" s="4" t="s">
        <v>280</v>
      </c>
      <c r="H53" s="4" t="s">
        <v>281</v>
      </c>
      <c r="I53" s="4" t="s">
        <v>267</v>
      </c>
      <c r="J53" s="4" t="s">
        <v>268</v>
      </c>
      <c r="K53" s="5">
        <v>8</v>
      </c>
      <c r="L53" s="5" t="s">
        <v>26</v>
      </c>
      <c r="M53" s="5">
        <v>1</v>
      </c>
      <c r="N53" s="4" t="s">
        <v>269</v>
      </c>
      <c r="O53" s="5" t="s">
        <v>28</v>
      </c>
      <c r="P53" s="5" t="s">
        <v>53</v>
      </c>
      <c r="Q53" s="5" t="s">
        <v>30</v>
      </c>
    </row>
    <row r="54" spans="1:17" ht="39">
      <c r="A54" s="12" t="s">
        <v>282</v>
      </c>
      <c r="B54" s="18" t="s">
        <v>263</v>
      </c>
      <c r="C54" s="3" t="s">
        <v>55</v>
      </c>
      <c r="D54" s="3">
        <v>5</v>
      </c>
      <c r="E54" s="2" t="s">
        <v>283</v>
      </c>
      <c r="F54" s="2" t="s">
        <v>34</v>
      </c>
      <c r="G54" s="2" t="s">
        <v>284</v>
      </c>
      <c r="H54" s="2" t="s">
        <v>285</v>
      </c>
      <c r="I54" s="2" t="s">
        <v>267</v>
      </c>
      <c r="J54" s="2" t="s">
        <v>268</v>
      </c>
      <c r="K54" s="3">
        <v>8</v>
      </c>
      <c r="L54" s="3" t="s">
        <v>26</v>
      </c>
      <c r="M54" s="3">
        <v>1</v>
      </c>
      <c r="N54" s="2" t="s">
        <v>269</v>
      </c>
      <c r="O54" s="3" t="s">
        <v>28</v>
      </c>
      <c r="P54" s="3" t="s">
        <v>53</v>
      </c>
      <c r="Q54" s="3" t="s">
        <v>30</v>
      </c>
    </row>
    <row r="55" spans="1:17" ht="39">
      <c r="A55" s="14" t="s">
        <v>286</v>
      </c>
      <c r="B55" s="19" t="s">
        <v>263</v>
      </c>
      <c r="C55" s="5" t="s">
        <v>49</v>
      </c>
      <c r="D55" s="5">
        <v>4</v>
      </c>
      <c r="E55" s="4" t="s">
        <v>287</v>
      </c>
      <c r="F55" s="4" t="s">
        <v>34</v>
      </c>
      <c r="G55" s="4" t="s">
        <v>288</v>
      </c>
      <c r="H55" s="4" t="s">
        <v>289</v>
      </c>
      <c r="I55" s="4" t="s">
        <v>267</v>
      </c>
      <c r="J55" s="4" t="s">
        <v>268</v>
      </c>
      <c r="K55" s="5">
        <v>7</v>
      </c>
      <c r="L55" s="5" t="s">
        <v>26</v>
      </c>
      <c r="M55" s="5">
        <v>1</v>
      </c>
      <c r="N55" s="4" t="s">
        <v>269</v>
      </c>
      <c r="O55" s="5" t="s">
        <v>37</v>
      </c>
      <c r="P55" s="5" t="s">
        <v>53</v>
      </c>
      <c r="Q55" s="5" t="s">
        <v>30</v>
      </c>
    </row>
    <row r="56" spans="1:17" ht="260.10000000000002">
      <c r="A56" s="14" t="s">
        <v>290</v>
      </c>
      <c r="B56" s="19" t="s">
        <v>291</v>
      </c>
      <c r="C56" s="5" t="s">
        <v>19</v>
      </c>
      <c r="D56" s="5">
        <v>4</v>
      </c>
      <c r="E56" s="4" t="s">
        <v>292</v>
      </c>
      <c r="F56" s="4" t="s">
        <v>62</v>
      </c>
      <c r="G56" s="4" t="s">
        <v>293</v>
      </c>
      <c r="H56" s="4" t="s">
        <v>294</v>
      </c>
      <c r="I56" s="4" t="s">
        <v>295</v>
      </c>
      <c r="J56" s="4" t="s">
        <v>296</v>
      </c>
      <c r="K56" s="5">
        <v>2</v>
      </c>
      <c r="L56" s="5" t="s">
        <v>26</v>
      </c>
      <c r="M56" s="5">
        <v>1</v>
      </c>
      <c r="N56" s="4" t="s">
        <v>297</v>
      </c>
      <c r="O56" s="5" t="s">
        <v>37</v>
      </c>
      <c r="P56" s="5" t="s">
        <v>29</v>
      </c>
      <c r="Q56" s="5" t="s">
        <v>30</v>
      </c>
    </row>
    <row r="57" spans="1:17" ht="51.95">
      <c r="A57" s="14" t="s">
        <v>298</v>
      </c>
      <c r="B57" s="19" t="s">
        <v>291</v>
      </c>
      <c r="C57" s="5" t="s">
        <v>40</v>
      </c>
      <c r="D57" s="5">
        <v>4</v>
      </c>
      <c r="E57" s="4" t="s">
        <v>299</v>
      </c>
      <c r="F57" s="4" t="s">
        <v>34</v>
      </c>
      <c r="G57" s="4" t="s">
        <v>300</v>
      </c>
      <c r="H57" s="4" t="s">
        <v>301</v>
      </c>
      <c r="I57" s="4" t="s">
        <v>295</v>
      </c>
      <c r="J57" s="4" t="s">
        <v>296</v>
      </c>
      <c r="K57" s="5">
        <v>6</v>
      </c>
      <c r="L57" s="5" t="s">
        <v>26</v>
      </c>
      <c r="M57" s="5">
        <v>1</v>
      </c>
      <c r="N57" s="4" t="s">
        <v>297</v>
      </c>
      <c r="O57" s="5" t="s">
        <v>37</v>
      </c>
      <c r="P57" s="5" t="s">
        <v>38</v>
      </c>
      <c r="Q57" s="5" t="s">
        <v>30</v>
      </c>
    </row>
    <row r="58" spans="1:17" ht="39">
      <c r="A58" s="14" t="s">
        <v>302</v>
      </c>
      <c r="B58" s="19" t="s">
        <v>291</v>
      </c>
      <c r="C58" s="5" t="s">
        <v>32</v>
      </c>
      <c r="D58" s="5">
        <v>5</v>
      </c>
      <c r="E58" s="4" t="s">
        <v>303</v>
      </c>
      <c r="F58" s="4" t="s">
        <v>34</v>
      </c>
      <c r="G58" s="4" t="s">
        <v>304</v>
      </c>
      <c r="H58" s="4" t="s">
        <v>305</v>
      </c>
      <c r="I58" s="4" t="s">
        <v>295</v>
      </c>
      <c r="J58" s="4" t="s">
        <v>296</v>
      </c>
      <c r="K58" s="5">
        <v>8</v>
      </c>
      <c r="L58" s="5" t="s">
        <v>26</v>
      </c>
      <c r="M58" s="5">
        <v>1</v>
      </c>
      <c r="N58" s="4" t="s">
        <v>297</v>
      </c>
      <c r="O58" s="5" t="s">
        <v>28</v>
      </c>
      <c r="P58" s="5" t="s">
        <v>53</v>
      </c>
      <c r="Q58" s="5" t="s">
        <v>30</v>
      </c>
    </row>
    <row r="59" spans="1:17" ht="104.1">
      <c r="A59" s="14" t="s">
        <v>306</v>
      </c>
      <c r="B59" s="19" t="s">
        <v>291</v>
      </c>
      <c r="C59" s="5" t="s">
        <v>19</v>
      </c>
      <c r="D59" s="5">
        <v>4</v>
      </c>
      <c r="E59" s="4" t="s">
        <v>307</v>
      </c>
      <c r="F59" s="4" t="s">
        <v>62</v>
      </c>
      <c r="G59" s="4" t="s">
        <v>308</v>
      </c>
      <c r="H59" s="4" t="s">
        <v>309</v>
      </c>
      <c r="I59" s="4" t="s">
        <v>295</v>
      </c>
      <c r="J59" s="4" t="s">
        <v>296</v>
      </c>
      <c r="K59" s="5">
        <v>2</v>
      </c>
      <c r="L59" s="5" t="s">
        <v>26</v>
      </c>
      <c r="M59" s="5">
        <v>1</v>
      </c>
      <c r="N59" s="4" t="s">
        <v>297</v>
      </c>
      <c r="O59" s="5" t="s">
        <v>37</v>
      </c>
      <c r="P59" s="5" t="s">
        <v>29</v>
      </c>
      <c r="Q59" s="5" t="s">
        <v>30</v>
      </c>
    </row>
    <row r="60" spans="1:17" ht="39">
      <c r="A60" s="14" t="s">
        <v>310</v>
      </c>
      <c r="B60" s="19" t="s">
        <v>291</v>
      </c>
      <c r="C60" s="5" t="s">
        <v>49</v>
      </c>
      <c r="D60" s="5">
        <v>5</v>
      </c>
      <c r="E60" s="4" t="s">
        <v>311</v>
      </c>
      <c r="F60" s="4" t="s">
        <v>34</v>
      </c>
      <c r="G60" s="4" t="s">
        <v>312</v>
      </c>
      <c r="H60" s="4" t="s">
        <v>313</v>
      </c>
      <c r="I60" s="4" t="s">
        <v>295</v>
      </c>
      <c r="J60" s="4" t="s">
        <v>296</v>
      </c>
      <c r="K60" s="5">
        <v>8</v>
      </c>
      <c r="L60" s="5" t="s">
        <v>26</v>
      </c>
      <c r="M60" s="5">
        <v>1</v>
      </c>
      <c r="N60" s="4" t="s">
        <v>297</v>
      </c>
      <c r="O60" s="5" t="s">
        <v>28</v>
      </c>
      <c r="P60" s="5" t="s">
        <v>53</v>
      </c>
      <c r="Q60" s="5" t="s">
        <v>30</v>
      </c>
    </row>
    <row r="61" spans="1:17" ht="39">
      <c r="A61" s="14" t="s">
        <v>314</v>
      </c>
      <c r="B61" s="19" t="s">
        <v>291</v>
      </c>
      <c r="C61" s="5" t="s">
        <v>55</v>
      </c>
      <c r="D61" s="5">
        <v>5</v>
      </c>
      <c r="E61" s="4" t="s">
        <v>315</v>
      </c>
      <c r="F61" s="4" t="s">
        <v>34</v>
      </c>
      <c r="G61" s="4" t="s">
        <v>316</v>
      </c>
      <c r="H61" s="4" t="s">
        <v>317</v>
      </c>
      <c r="I61" s="4" t="s">
        <v>295</v>
      </c>
      <c r="J61" s="4" t="s">
        <v>296</v>
      </c>
      <c r="K61" s="5">
        <v>8</v>
      </c>
      <c r="L61" s="5" t="s">
        <v>26</v>
      </c>
      <c r="M61" s="5">
        <v>1</v>
      </c>
      <c r="N61" s="4" t="s">
        <v>297</v>
      </c>
      <c r="O61" s="5" t="s">
        <v>28</v>
      </c>
      <c r="P61" s="5" t="s">
        <v>53</v>
      </c>
      <c r="Q61" s="5" t="s">
        <v>30</v>
      </c>
    </row>
    <row r="62" spans="1:17" ht="221.1">
      <c r="A62" s="14" t="s">
        <v>318</v>
      </c>
      <c r="B62" s="19" t="s">
        <v>18</v>
      </c>
      <c r="C62" s="5" t="s">
        <v>19</v>
      </c>
      <c r="D62" s="5">
        <v>4</v>
      </c>
      <c r="E62" s="4" t="s">
        <v>319</v>
      </c>
      <c r="F62" s="4" t="s">
        <v>62</v>
      </c>
      <c r="G62" s="4" t="s">
        <v>320</v>
      </c>
      <c r="H62" s="4" t="s">
        <v>321</v>
      </c>
      <c r="I62" s="4" t="s">
        <v>24</v>
      </c>
      <c r="J62" s="4" t="s">
        <v>25</v>
      </c>
      <c r="K62" s="5">
        <v>2</v>
      </c>
      <c r="L62" s="5" t="s">
        <v>26</v>
      </c>
      <c r="M62" s="5">
        <v>1</v>
      </c>
      <c r="N62" s="4" t="s">
        <v>27</v>
      </c>
      <c r="O62" s="5" t="s">
        <v>37</v>
      </c>
      <c r="P62" s="5" t="s">
        <v>29</v>
      </c>
      <c r="Q62" s="5" t="s">
        <v>30</v>
      </c>
    </row>
    <row r="63" spans="1:17" ht="221.1">
      <c r="A63" s="14" t="s">
        <v>322</v>
      </c>
      <c r="B63" s="19" t="s">
        <v>18</v>
      </c>
      <c r="C63" s="5" t="s">
        <v>19</v>
      </c>
      <c r="D63" s="5">
        <v>5</v>
      </c>
      <c r="E63" s="4" t="s">
        <v>323</v>
      </c>
      <c r="F63" s="4" t="s">
        <v>78</v>
      </c>
      <c r="G63" s="4" t="s">
        <v>324</v>
      </c>
      <c r="H63" s="4" t="s">
        <v>321</v>
      </c>
      <c r="I63" s="4" t="s">
        <v>24</v>
      </c>
      <c r="J63" s="4" t="s">
        <v>25</v>
      </c>
      <c r="K63" s="5">
        <v>2</v>
      </c>
      <c r="L63" s="5" t="s">
        <v>26</v>
      </c>
      <c r="M63" s="5">
        <v>1</v>
      </c>
      <c r="N63" s="4" t="s">
        <v>27</v>
      </c>
      <c r="O63" s="5" t="s">
        <v>28</v>
      </c>
      <c r="P63" s="5" t="s">
        <v>29</v>
      </c>
      <c r="Q63" s="5" t="s">
        <v>30</v>
      </c>
    </row>
    <row r="64" spans="1:17" ht="221.1">
      <c r="A64" s="14" t="s">
        <v>325</v>
      </c>
      <c r="B64" s="19" t="s">
        <v>18</v>
      </c>
      <c r="C64" s="5" t="s">
        <v>19</v>
      </c>
      <c r="D64" s="5">
        <v>4</v>
      </c>
      <c r="E64" s="4" t="s">
        <v>326</v>
      </c>
      <c r="F64" s="4" t="s">
        <v>122</v>
      </c>
      <c r="G64" s="4" t="s">
        <v>327</v>
      </c>
      <c r="H64" s="4" t="s">
        <v>321</v>
      </c>
      <c r="I64" s="4" t="s">
        <v>24</v>
      </c>
      <c r="J64" s="4" t="s">
        <v>25</v>
      </c>
      <c r="K64" s="5">
        <v>2</v>
      </c>
      <c r="L64" s="5" t="s">
        <v>26</v>
      </c>
      <c r="M64" s="5">
        <v>1</v>
      </c>
      <c r="N64" s="4" t="s">
        <v>27</v>
      </c>
      <c r="O64" s="5" t="s">
        <v>37</v>
      </c>
      <c r="P64" s="5" t="s">
        <v>29</v>
      </c>
      <c r="Q64" s="5" t="s">
        <v>30</v>
      </c>
    </row>
    <row r="65" spans="1:17" ht="221.1">
      <c r="A65" s="14" t="s">
        <v>328</v>
      </c>
      <c r="B65" s="19" t="s">
        <v>18</v>
      </c>
      <c r="C65" s="5" t="s">
        <v>19</v>
      </c>
      <c r="D65" s="5">
        <v>5</v>
      </c>
      <c r="E65" s="4" t="s">
        <v>329</v>
      </c>
      <c r="F65" s="4" t="s">
        <v>21</v>
      </c>
      <c r="G65" s="4" t="s">
        <v>330</v>
      </c>
      <c r="H65" s="4" t="s">
        <v>321</v>
      </c>
      <c r="I65" s="4" t="s">
        <v>24</v>
      </c>
      <c r="J65" s="4" t="s">
        <v>25</v>
      </c>
      <c r="K65" s="5">
        <v>2</v>
      </c>
      <c r="L65" s="5" t="s">
        <v>26</v>
      </c>
      <c r="M65" s="5">
        <v>1</v>
      </c>
      <c r="N65" s="4" t="s">
        <v>27</v>
      </c>
      <c r="O65" s="5" t="s">
        <v>28</v>
      </c>
      <c r="P65" s="5" t="s">
        <v>29</v>
      </c>
      <c r="Q65" s="5" t="s">
        <v>30</v>
      </c>
    </row>
    <row r="66" spans="1:17" ht="234">
      <c r="A66" s="14" t="s">
        <v>331</v>
      </c>
      <c r="B66" s="19" t="s">
        <v>60</v>
      </c>
      <c r="C66" s="5" t="s">
        <v>19</v>
      </c>
      <c r="D66" s="5">
        <v>5</v>
      </c>
      <c r="E66" s="4" t="s">
        <v>332</v>
      </c>
      <c r="F66" s="4" t="s">
        <v>78</v>
      </c>
      <c r="G66" s="4" t="s">
        <v>333</v>
      </c>
      <c r="H66" s="4" t="s">
        <v>321</v>
      </c>
      <c r="I66" s="4" t="s">
        <v>65</v>
      </c>
      <c r="J66" s="4" t="s">
        <v>66</v>
      </c>
      <c r="K66" s="5">
        <v>2</v>
      </c>
      <c r="L66" s="5" t="s">
        <v>26</v>
      </c>
      <c r="M66" s="5">
        <v>1</v>
      </c>
      <c r="N66" s="4" t="s">
        <v>67</v>
      </c>
      <c r="O66" s="5" t="s">
        <v>28</v>
      </c>
      <c r="P66" s="5" t="s">
        <v>29</v>
      </c>
      <c r="Q66" s="5" t="s">
        <v>30</v>
      </c>
    </row>
    <row r="67" spans="1:17" ht="221.45" thickBot="1">
      <c r="A67" s="14" t="s">
        <v>334</v>
      </c>
      <c r="B67" s="19" t="s">
        <v>60</v>
      </c>
      <c r="C67" s="5" t="s">
        <v>19</v>
      </c>
      <c r="D67" s="5">
        <v>4</v>
      </c>
      <c r="E67" s="4" t="s">
        <v>335</v>
      </c>
      <c r="F67" s="4" t="s">
        <v>122</v>
      </c>
      <c r="G67" s="4" t="s">
        <v>336</v>
      </c>
      <c r="H67" s="4" t="s">
        <v>321</v>
      </c>
      <c r="I67" s="4" t="s">
        <v>65</v>
      </c>
      <c r="J67" s="4" t="s">
        <v>66</v>
      </c>
      <c r="K67" s="5">
        <v>2</v>
      </c>
      <c r="L67" s="5" t="s">
        <v>26</v>
      </c>
      <c r="M67" s="5">
        <v>1</v>
      </c>
      <c r="N67" s="4" t="s">
        <v>67</v>
      </c>
      <c r="O67" s="5" t="s">
        <v>37</v>
      </c>
      <c r="P67" s="5" t="s">
        <v>29</v>
      </c>
      <c r="Q67" s="5" t="s">
        <v>30</v>
      </c>
    </row>
    <row r="68" spans="1:17" ht="221.1">
      <c r="A68" s="12" t="s">
        <v>337</v>
      </c>
      <c r="B68" s="18" t="s">
        <v>60</v>
      </c>
      <c r="C68" s="3" t="s">
        <v>19</v>
      </c>
      <c r="D68" s="3">
        <v>5</v>
      </c>
      <c r="E68" s="2" t="s">
        <v>338</v>
      </c>
      <c r="F68" s="2" t="s">
        <v>21</v>
      </c>
      <c r="G68" s="2" t="s">
        <v>339</v>
      </c>
      <c r="H68" s="2" t="s">
        <v>321</v>
      </c>
      <c r="I68" s="2" t="s">
        <v>65</v>
      </c>
      <c r="J68" s="2" t="s">
        <v>66</v>
      </c>
      <c r="K68" s="3">
        <v>2</v>
      </c>
      <c r="L68" s="3" t="s">
        <v>26</v>
      </c>
      <c r="M68" s="3">
        <v>1</v>
      </c>
      <c r="N68" s="2" t="s">
        <v>67</v>
      </c>
      <c r="O68" s="3" t="s">
        <v>28</v>
      </c>
      <c r="P68" s="3" t="s">
        <v>29</v>
      </c>
      <c r="Q68" s="3" t="s">
        <v>30</v>
      </c>
    </row>
    <row r="69" spans="1:17" ht="221.1">
      <c r="A69" s="14" t="s">
        <v>340</v>
      </c>
      <c r="B69" s="19" t="s">
        <v>60</v>
      </c>
      <c r="C69" s="5" t="s">
        <v>19</v>
      </c>
      <c r="D69" s="5">
        <v>4</v>
      </c>
      <c r="E69" s="4" t="s">
        <v>341</v>
      </c>
      <c r="F69" s="4" t="s">
        <v>62</v>
      </c>
      <c r="G69" s="4" t="s">
        <v>342</v>
      </c>
      <c r="H69" s="4" t="s">
        <v>321</v>
      </c>
      <c r="I69" s="4" t="s">
        <v>65</v>
      </c>
      <c r="J69" s="4" t="s">
        <v>66</v>
      </c>
      <c r="K69" s="5">
        <v>2</v>
      </c>
      <c r="L69" s="5" t="s">
        <v>26</v>
      </c>
      <c r="M69" s="5">
        <v>1</v>
      </c>
      <c r="N69" s="4" t="s">
        <v>67</v>
      </c>
      <c r="O69" s="5" t="s">
        <v>37</v>
      </c>
      <c r="P69" s="5" t="s">
        <v>29</v>
      </c>
      <c r="Q69" s="5" t="s">
        <v>30</v>
      </c>
    </row>
    <row r="70" spans="1:17" ht="207.95">
      <c r="A70" s="14" t="s">
        <v>343</v>
      </c>
      <c r="B70" s="19" t="s">
        <v>91</v>
      </c>
      <c r="C70" s="5" t="s">
        <v>19</v>
      </c>
      <c r="D70" s="5">
        <v>5</v>
      </c>
      <c r="E70" s="4" t="s">
        <v>344</v>
      </c>
      <c r="F70" s="4" t="s">
        <v>122</v>
      </c>
      <c r="G70" s="4" t="s">
        <v>345</v>
      </c>
      <c r="H70" s="4" t="s">
        <v>321</v>
      </c>
      <c r="I70" s="4" t="s">
        <v>95</v>
      </c>
      <c r="J70" s="4" t="s">
        <v>96</v>
      </c>
      <c r="K70" s="5">
        <v>2</v>
      </c>
      <c r="L70" s="5" t="s">
        <v>26</v>
      </c>
      <c r="M70" s="5">
        <v>1</v>
      </c>
      <c r="N70" s="4" t="s">
        <v>97</v>
      </c>
      <c r="O70" s="5" t="s">
        <v>28</v>
      </c>
      <c r="P70" s="5" t="s">
        <v>29</v>
      </c>
      <c r="Q70" s="5" t="s">
        <v>30</v>
      </c>
    </row>
    <row r="71" spans="1:17" ht="207.95">
      <c r="A71" s="14" t="s">
        <v>346</v>
      </c>
      <c r="B71" s="19" t="s">
        <v>91</v>
      </c>
      <c r="C71" s="5" t="s">
        <v>19</v>
      </c>
      <c r="D71" s="5">
        <v>4</v>
      </c>
      <c r="E71" s="4" t="s">
        <v>347</v>
      </c>
      <c r="F71" s="4" t="s">
        <v>21</v>
      </c>
      <c r="G71" s="4" t="s">
        <v>348</v>
      </c>
      <c r="H71" s="4" t="s">
        <v>321</v>
      </c>
      <c r="I71" s="4" t="s">
        <v>95</v>
      </c>
      <c r="J71" s="4" t="s">
        <v>96</v>
      </c>
      <c r="K71" s="5">
        <v>2</v>
      </c>
      <c r="L71" s="5" t="s">
        <v>26</v>
      </c>
      <c r="M71" s="5">
        <v>1</v>
      </c>
      <c r="N71" s="4" t="s">
        <v>97</v>
      </c>
      <c r="O71" s="5" t="s">
        <v>37</v>
      </c>
      <c r="P71" s="5" t="s">
        <v>29</v>
      </c>
      <c r="Q71" s="5" t="s">
        <v>30</v>
      </c>
    </row>
    <row r="72" spans="1:17" ht="221.1">
      <c r="A72" s="14" t="s">
        <v>349</v>
      </c>
      <c r="B72" s="19" t="s">
        <v>91</v>
      </c>
      <c r="C72" s="5" t="s">
        <v>19</v>
      </c>
      <c r="D72" s="5">
        <v>4</v>
      </c>
      <c r="E72" s="4" t="s">
        <v>350</v>
      </c>
      <c r="F72" s="4" t="s">
        <v>62</v>
      </c>
      <c r="G72" s="4" t="s">
        <v>351</v>
      </c>
      <c r="H72" s="4" t="s">
        <v>321</v>
      </c>
      <c r="I72" s="4" t="s">
        <v>95</v>
      </c>
      <c r="J72" s="4" t="s">
        <v>96</v>
      </c>
      <c r="K72" s="5">
        <v>2</v>
      </c>
      <c r="L72" s="5" t="s">
        <v>26</v>
      </c>
      <c r="M72" s="5">
        <v>1</v>
      </c>
      <c r="N72" s="4" t="s">
        <v>97</v>
      </c>
      <c r="O72" s="5" t="s">
        <v>37</v>
      </c>
      <c r="P72" s="5" t="s">
        <v>29</v>
      </c>
      <c r="Q72" s="5" t="s">
        <v>30</v>
      </c>
    </row>
    <row r="73" spans="1:17" ht="207.95">
      <c r="A73" s="14" t="s">
        <v>352</v>
      </c>
      <c r="B73" s="19" t="s">
        <v>91</v>
      </c>
      <c r="C73" s="5" t="s">
        <v>19</v>
      </c>
      <c r="D73" s="5">
        <v>5</v>
      </c>
      <c r="E73" s="4" t="s">
        <v>353</v>
      </c>
      <c r="F73" s="4" t="s">
        <v>78</v>
      </c>
      <c r="G73" s="4" t="s">
        <v>354</v>
      </c>
      <c r="H73" s="4" t="s">
        <v>321</v>
      </c>
      <c r="I73" s="4" t="s">
        <v>95</v>
      </c>
      <c r="J73" s="4" t="s">
        <v>96</v>
      </c>
      <c r="K73" s="5">
        <v>2</v>
      </c>
      <c r="L73" s="5" t="s">
        <v>26</v>
      </c>
      <c r="M73" s="5">
        <v>1</v>
      </c>
      <c r="N73" s="4" t="s">
        <v>97</v>
      </c>
      <c r="O73" s="5" t="s">
        <v>28</v>
      </c>
      <c r="P73" s="5" t="s">
        <v>29</v>
      </c>
      <c r="Q73" s="5" t="s">
        <v>30</v>
      </c>
    </row>
    <row r="74" spans="1:17" ht="221.1">
      <c r="A74" s="14" t="s">
        <v>355</v>
      </c>
      <c r="B74" s="19" t="s">
        <v>120</v>
      </c>
      <c r="C74" s="5" t="s">
        <v>19</v>
      </c>
      <c r="D74" s="5">
        <v>5</v>
      </c>
      <c r="E74" s="4" t="s">
        <v>356</v>
      </c>
      <c r="F74" s="4" t="s">
        <v>21</v>
      </c>
      <c r="G74" s="4" t="s">
        <v>357</v>
      </c>
      <c r="H74" s="4" t="s">
        <v>321</v>
      </c>
      <c r="I74" s="4" t="s">
        <v>125</v>
      </c>
      <c r="J74" s="4" t="s">
        <v>126</v>
      </c>
      <c r="K74" s="5">
        <v>2</v>
      </c>
      <c r="L74" s="5" t="s">
        <v>26</v>
      </c>
      <c r="M74" s="5">
        <v>1</v>
      </c>
      <c r="N74" s="4" t="s">
        <v>127</v>
      </c>
      <c r="O74" s="5" t="s">
        <v>28</v>
      </c>
      <c r="P74" s="5" t="s">
        <v>29</v>
      </c>
      <c r="Q74" s="5" t="s">
        <v>30</v>
      </c>
    </row>
    <row r="75" spans="1:17" ht="195">
      <c r="A75" s="14" t="s">
        <v>358</v>
      </c>
      <c r="B75" s="19" t="s">
        <v>120</v>
      </c>
      <c r="C75" s="5" t="s">
        <v>19</v>
      </c>
      <c r="D75" s="5">
        <v>4</v>
      </c>
      <c r="E75" s="4" t="s">
        <v>359</v>
      </c>
      <c r="F75" s="4" t="s">
        <v>62</v>
      </c>
      <c r="G75" s="4" t="s">
        <v>360</v>
      </c>
      <c r="H75" s="4" t="s">
        <v>321</v>
      </c>
      <c r="I75" s="4" t="s">
        <v>125</v>
      </c>
      <c r="J75" s="4" t="s">
        <v>126</v>
      </c>
      <c r="K75" s="5">
        <v>2</v>
      </c>
      <c r="L75" s="5" t="s">
        <v>26</v>
      </c>
      <c r="M75" s="5">
        <v>1</v>
      </c>
      <c r="N75" s="4" t="s">
        <v>127</v>
      </c>
      <c r="O75" s="5" t="s">
        <v>37</v>
      </c>
      <c r="P75" s="5" t="s">
        <v>29</v>
      </c>
      <c r="Q75" s="5" t="s">
        <v>30</v>
      </c>
    </row>
    <row r="76" spans="1:17" ht="221.1">
      <c r="A76" s="14" t="s">
        <v>361</v>
      </c>
      <c r="B76" s="19" t="s">
        <v>120</v>
      </c>
      <c r="C76" s="5" t="s">
        <v>19</v>
      </c>
      <c r="D76" s="5">
        <v>5</v>
      </c>
      <c r="E76" s="4" t="s">
        <v>362</v>
      </c>
      <c r="F76" s="4" t="s">
        <v>78</v>
      </c>
      <c r="G76" s="4" t="s">
        <v>363</v>
      </c>
      <c r="H76" s="4" t="s">
        <v>321</v>
      </c>
      <c r="I76" s="4" t="s">
        <v>125</v>
      </c>
      <c r="J76" s="4" t="s">
        <v>126</v>
      </c>
      <c r="K76" s="5">
        <v>2</v>
      </c>
      <c r="L76" s="5" t="s">
        <v>26</v>
      </c>
      <c r="M76" s="5">
        <v>1</v>
      </c>
      <c r="N76" s="4" t="s">
        <v>127</v>
      </c>
      <c r="O76" s="5" t="s">
        <v>28</v>
      </c>
      <c r="P76" s="5" t="s">
        <v>29</v>
      </c>
      <c r="Q76" s="5" t="s">
        <v>30</v>
      </c>
    </row>
    <row r="77" spans="1:17" ht="221.1">
      <c r="A77" s="14" t="s">
        <v>364</v>
      </c>
      <c r="B77" s="19" t="s">
        <v>120</v>
      </c>
      <c r="C77" s="5" t="s">
        <v>19</v>
      </c>
      <c r="D77" s="5">
        <v>4</v>
      </c>
      <c r="E77" s="4" t="s">
        <v>365</v>
      </c>
      <c r="F77" s="4" t="s">
        <v>122</v>
      </c>
      <c r="G77" s="4" t="s">
        <v>366</v>
      </c>
      <c r="H77" s="4" t="s">
        <v>321</v>
      </c>
      <c r="I77" s="4" t="s">
        <v>125</v>
      </c>
      <c r="J77" s="4" t="s">
        <v>126</v>
      </c>
      <c r="K77" s="5">
        <v>2</v>
      </c>
      <c r="L77" s="5" t="s">
        <v>26</v>
      </c>
      <c r="M77" s="5">
        <v>1</v>
      </c>
      <c r="N77" s="4" t="s">
        <v>127</v>
      </c>
      <c r="O77" s="5" t="s">
        <v>37</v>
      </c>
      <c r="P77" s="5" t="s">
        <v>29</v>
      </c>
      <c r="Q77" s="5" t="s">
        <v>30</v>
      </c>
    </row>
    <row r="78" spans="1:17" ht="221.1">
      <c r="A78" s="14" t="s">
        <v>367</v>
      </c>
      <c r="B78" s="19" t="s">
        <v>150</v>
      </c>
      <c r="C78" s="5" t="s">
        <v>19</v>
      </c>
      <c r="D78" s="5">
        <v>5</v>
      </c>
      <c r="E78" s="4" t="s">
        <v>368</v>
      </c>
      <c r="F78" s="4" t="s">
        <v>62</v>
      </c>
      <c r="G78" s="4" t="s">
        <v>369</v>
      </c>
      <c r="H78" s="4" t="s">
        <v>321</v>
      </c>
      <c r="I78" s="4" t="s">
        <v>154</v>
      </c>
      <c r="J78" s="4" t="s">
        <v>155</v>
      </c>
      <c r="K78" s="5">
        <v>2</v>
      </c>
      <c r="L78" s="5" t="s">
        <v>26</v>
      </c>
      <c r="M78" s="5">
        <v>1</v>
      </c>
      <c r="N78" s="4" t="s">
        <v>156</v>
      </c>
      <c r="O78" s="5" t="s">
        <v>28</v>
      </c>
      <c r="P78" s="5" t="s">
        <v>29</v>
      </c>
      <c r="Q78" s="5" t="s">
        <v>30</v>
      </c>
    </row>
    <row r="79" spans="1:17" ht="221.1">
      <c r="A79" s="14" t="s">
        <v>370</v>
      </c>
      <c r="B79" s="19" t="s">
        <v>150</v>
      </c>
      <c r="C79" s="5" t="s">
        <v>19</v>
      </c>
      <c r="D79" s="5">
        <v>4</v>
      </c>
      <c r="E79" s="4" t="s">
        <v>371</v>
      </c>
      <c r="F79" s="4" t="s">
        <v>78</v>
      </c>
      <c r="G79" s="4" t="s">
        <v>372</v>
      </c>
      <c r="H79" s="4" t="s">
        <v>321</v>
      </c>
      <c r="I79" s="4" t="s">
        <v>154</v>
      </c>
      <c r="J79" s="4" t="s">
        <v>155</v>
      </c>
      <c r="K79" s="5">
        <v>2</v>
      </c>
      <c r="L79" s="5" t="s">
        <v>26</v>
      </c>
      <c r="M79" s="5">
        <v>1</v>
      </c>
      <c r="N79" s="4" t="s">
        <v>156</v>
      </c>
      <c r="O79" s="5" t="s">
        <v>37</v>
      </c>
      <c r="P79" s="5" t="s">
        <v>29</v>
      </c>
      <c r="Q79" s="5" t="s">
        <v>30</v>
      </c>
    </row>
    <row r="80" spans="1:17" ht="221.1">
      <c r="A80" s="14" t="s">
        <v>373</v>
      </c>
      <c r="B80" s="19" t="s">
        <v>150</v>
      </c>
      <c r="C80" s="5" t="s">
        <v>19</v>
      </c>
      <c r="D80" s="5">
        <v>5</v>
      </c>
      <c r="E80" s="4" t="s">
        <v>374</v>
      </c>
      <c r="F80" s="4" t="s">
        <v>122</v>
      </c>
      <c r="G80" s="4" t="s">
        <v>375</v>
      </c>
      <c r="H80" s="4" t="s">
        <v>321</v>
      </c>
      <c r="I80" s="4" t="s">
        <v>154</v>
      </c>
      <c r="J80" s="4" t="s">
        <v>155</v>
      </c>
      <c r="K80" s="5">
        <v>2</v>
      </c>
      <c r="L80" s="5" t="s">
        <v>26</v>
      </c>
      <c r="M80" s="5">
        <v>1</v>
      </c>
      <c r="N80" s="4" t="s">
        <v>156</v>
      </c>
      <c r="O80" s="5" t="s">
        <v>28</v>
      </c>
      <c r="P80" s="5" t="s">
        <v>29</v>
      </c>
      <c r="Q80" s="5" t="s">
        <v>30</v>
      </c>
    </row>
    <row r="81" spans="1:17" ht="221.1">
      <c r="A81" s="14" t="s">
        <v>376</v>
      </c>
      <c r="B81" s="19" t="s">
        <v>150</v>
      </c>
      <c r="C81" s="5" t="s">
        <v>19</v>
      </c>
      <c r="D81" s="5">
        <v>4</v>
      </c>
      <c r="E81" s="4" t="s">
        <v>377</v>
      </c>
      <c r="F81" s="4" t="s">
        <v>21</v>
      </c>
      <c r="G81" s="4" t="s">
        <v>378</v>
      </c>
      <c r="H81" s="4" t="s">
        <v>321</v>
      </c>
      <c r="I81" s="4" t="s">
        <v>154</v>
      </c>
      <c r="J81" s="4" t="s">
        <v>155</v>
      </c>
      <c r="K81" s="5">
        <v>2</v>
      </c>
      <c r="L81" s="5" t="s">
        <v>26</v>
      </c>
      <c r="M81" s="5">
        <v>1</v>
      </c>
      <c r="N81" s="4" t="s">
        <v>156</v>
      </c>
      <c r="O81" s="5" t="s">
        <v>37</v>
      </c>
      <c r="P81" s="5" t="s">
        <v>29</v>
      </c>
      <c r="Q81" s="5" t="s">
        <v>30</v>
      </c>
    </row>
    <row r="82" spans="1:17" ht="221.1">
      <c r="A82" s="14" t="s">
        <v>379</v>
      </c>
      <c r="B82" s="19" t="s">
        <v>179</v>
      </c>
      <c r="C82" s="5" t="s">
        <v>19</v>
      </c>
      <c r="D82" s="5">
        <v>5</v>
      </c>
      <c r="E82" s="4" t="s">
        <v>380</v>
      </c>
      <c r="F82" s="4" t="s">
        <v>78</v>
      </c>
      <c r="G82" s="4" t="s">
        <v>381</v>
      </c>
      <c r="H82" s="4" t="s">
        <v>321</v>
      </c>
      <c r="I82" s="4" t="s">
        <v>183</v>
      </c>
      <c r="J82" s="4" t="s">
        <v>184</v>
      </c>
      <c r="K82" s="5">
        <v>2</v>
      </c>
      <c r="L82" s="5" t="s">
        <v>26</v>
      </c>
      <c r="M82" s="5">
        <v>1</v>
      </c>
      <c r="N82" s="4" t="s">
        <v>185</v>
      </c>
      <c r="O82" s="5" t="s">
        <v>28</v>
      </c>
      <c r="P82" s="5" t="s">
        <v>29</v>
      </c>
      <c r="Q82" s="5" t="s">
        <v>30</v>
      </c>
    </row>
    <row r="83" spans="1:17" ht="221.1">
      <c r="A83" s="14" t="s">
        <v>382</v>
      </c>
      <c r="B83" s="19" t="s">
        <v>179</v>
      </c>
      <c r="C83" s="5" t="s">
        <v>19</v>
      </c>
      <c r="D83" s="5">
        <v>5</v>
      </c>
      <c r="E83" s="4" t="s">
        <v>383</v>
      </c>
      <c r="F83" s="4" t="s">
        <v>122</v>
      </c>
      <c r="G83" s="4" t="s">
        <v>384</v>
      </c>
      <c r="H83" s="4" t="s">
        <v>321</v>
      </c>
      <c r="I83" s="4" t="s">
        <v>183</v>
      </c>
      <c r="J83" s="4" t="s">
        <v>184</v>
      </c>
      <c r="K83" s="5">
        <v>2</v>
      </c>
      <c r="L83" s="5" t="s">
        <v>26</v>
      </c>
      <c r="M83" s="5">
        <v>1</v>
      </c>
      <c r="N83" s="4" t="s">
        <v>185</v>
      </c>
      <c r="O83" s="5" t="s">
        <v>28</v>
      </c>
      <c r="P83" s="5" t="s">
        <v>29</v>
      </c>
      <c r="Q83" s="5" t="s">
        <v>30</v>
      </c>
    </row>
    <row r="84" spans="1:17" ht="221.45" thickBot="1">
      <c r="A84" s="14" t="s">
        <v>385</v>
      </c>
      <c r="B84" s="19" t="s">
        <v>179</v>
      </c>
      <c r="C84" s="5" t="s">
        <v>19</v>
      </c>
      <c r="D84" s="5">
        <v>4</v>
      </c>
      <c r="E84" s="4" t="s">
        <v>386</v>
      </c>
      <c r="F84" s="4" t="s">
        <v>21</v>
      </c>
      <c r="G84" s="4" t="s">
        <v>387</v>
      </c>
      <c r="H84" s="4" t="s">
        <v>321</v>
      </c>
      <c r="I84" s="4" t="s">
        <v>183</v>
      </c>
      <c r="J84" s="4" t="s">
        <v>184</v>
      </c>
      <c r="K84" s="5">
        <v>2</v>
      </c>
      <c r="L84" s="5" t="s">
        <v>26</v>
      </c>
      <c r="M84" s="5">
        <v>1</v>
      </c>
      <c r="N84" s="4" t="s">
        <v>185</v>
      </c>
      <c r="O84" s="5" t="s">
        <v>37</v>
      </c>
      <c r="P84" s="5" t="s">
        <v>29</v>
      </c>
      <c r="Q84" s="5" t="s">
        <v>30</v>
      </c>
    </row>
    <row r="85" spans="1:17" ht="221.1">
      <c r="A85" s="12" t="s">
        <v>388</v>
      </c>
      <c r="B85" s="18" t="s">
        <v>179</v>
      </c>
      <c r="C85" s="3" t="s">
        <v>19</v>
      </c>
      <c r="D85" s="3">
        <v>5</v>
      </c>
      <c r="E85" s="2" t="s">
        <v>389</v>
      </c>
      <c r="F85" s="2" t="s">
        <v>62</v>
      </c>
      <c r="G85" s="2" t="s">
        <v>390</v>
      </c>
      <c r="H85" s="2" t="s">
        <v>321</v>
      </c>
      <c r="I85" s="2" t="s">
        <v>183</v>
      </c>
      <c r="J85" s="2" t="s">
        <v>184</v>
      </c>
      <c r="K85" s="3">
        <v>2</v>
      </c>
      <c r="L85" s="3" t="s">
        <v>26</v>
      </c>
      <c r="M85" s="3">
        <v>1</v>
      </c>
      <c r="N85" s="2" t="s">
        <v>185</v>
      </c>
      <c r="O85" s="3" t="s">
        <v>28</v>
      </c>
      <c r="P85" s="3" t="s">
        <v>29</v>
      </c>
      <c r="Q85" s="3" t="s">
        <v>30</v>
      </c>
    </row>
    <row r="86" spans="1:17" ht="207.95">
      <c r="A86" s="14" t="s">
        <v>391</v>
      </c>
      <c r="B86" s="19" t="s">
        <v>207</v>
      </c>
      <c r="C86" s="5" t="s">
        <v>19</v>
      </c>
      <c r="D86" s="5">
        <v>5</v>
      </c>
      <c r="E86" s="4" t="s">
        <v>392</v>
      </c>
      <c r="F86" s="4" t="s">
        <v>122</v>
      </c>
      <c r="G86" s="4" t="s">
        <v>393</v>
      </c>
      <c r="H86" s="4" t="s">
        <v>321</v>
      </c>
      <c r="I86" s="4" t="s">
        <v>211</v>
      </c>
      <c r="J86" s="4" t="s">
        <v>212</v>
      </c>
      <c r="K86" s="5">
        <v>2</v>
      </c>
      <c r="L86" s="5" t="s">
        <v>26</v>
      </c>
      <c r="M86" s="5">
        <v>1</v>
      </c>
      <c r="N86" s="4" t="s">
        <v>213</v>
      </c>
      <c r="O86" s="5" t="s">
        <v>28</v>
      </c>
      <c r="P86" s="5" t="s">
        <v>29</v>
      </c>
      <c r="Q86" s="5" t="s">
        <v>30</v>
      </c>
    </row>
    <row r="87" spans="1:17" ht="221.1">
      <c r="A87" s="14" t="s">
        <v>394</v>
      </c>
      <c r="B87" s="19" t="s">
        <v>207</v>
      </c>
      <c r="C87" s="5" t="s">
        <v>19</v>
      </c>
      <c r="D87" s="5">
        <v>4</v>
      </c>
      <c r="E87" s="4" t="s">
        <v>395</v>
      </c>
      <c r="F87" s="4" t="s">
        <v>21</v>
      </c>
      <c r="G87" s="4" t="s">
        <v>396</v>
      </c>
      <c r="H87" s="4" t="s">
        <v>321</v>
      </c>
      <c r="I87" s="4" t="s">
        <v>211</v>
      </c>
      <c r="J87" s="4" t="s">
        <v>212</v>
      </c>
      <c r="K87" s="5">
        <v>2</v>
      </c>
      <c r="L87" s="5" t="s">
        <v>26</v>
      </c>
      <c r="M87" s="5">
        <v>1</v>
      </c>
      <c r="N87" s="4" t="s">
        <v>213</v>
      </c>
      <c r="O87" s="5" t="s">
        <v>37</v>
      </c>
      <c r="P87" s="5" t="s">
        <v>29</v>
      </c>
      <c r="Q87" s="5" t="s">
        <v>30</v>
      </c>
    </row>
    <row r="88" spans="1:17" ht="221.1">
      <c r="A88" s="14" t="s">
        <v>397</v>
      </c>
      <c r="B88" s="19" t="s">
        <v>207</v>
      </c>
      <c r="C88" s="5" t="s">
        <v>19</v>
      </c>
      <c r="D88" s="5">
        <v>5</v>
      </c>
      <c r="E88" s="4" t="s">
        <v>398</v>
      </c>
      <c r="F88" s="4" t="s">
        <v>62</v>
      </c>
      <c r="G88" s="4" t="s">
        <v>399</v>
      </c>
      <c r="H88" s="4" t="s">
        <v>321</v>
      </c>
      <c r="I88" s="4" t="s">
        <v>211</v>
      </c>
      <c r="J88" s="4" t="s">
        <v>212</v>
      </c>
      <c r="K88" s="5">
        <v>2</v>
      </c>
      <c r="L88" s="5" t="s">
        <v>26</v>
      </c>
      <c r="M88" s="5">
        <v>1</v>
      </c>
      <c r="N88" s="4" t="s">
        <v>213</v>
      </c>
      <c r="O88" s="5" t="s">
        <v>28</v>
      </c>
      <c r="P88" s="5" t="s">
        <v>29</v>
      </c>
      <c r="Q88" s="5" t="s">
        <v>30</v>
      </c>
    </row>
    <row r="89" spans="1:17" ht="221.1">
      <c r="A89" s="14" t="s">
        <v>400</v>
      </c>
      <c r="B89" s="19" t="s">
        <v>207</v>
      </c>
      <c r="C89" s="5" t="s">
        <v>19</v>
      </c>
      <c r="D89" s="5">
        <v>5</v>
      </c>
      <c r="E89" s="4" t="s">
        <v>401</v>
      </c>
      <c r="F89" s="4" t="s">
        <v>78</v>
      </c>
      <c r="G89" s="4" t="s">
        <v>402</v>
      </c>
      <c r="H89" s="4" t="s">
        <v>321</v>
      </c>
      <c r="I89" s="4" t="s">
        <v>211</v>
      </c>
      <c r="J89" s="4" t="s">
        <v>212</v>
      </c>
      <c r="K89" s="5">
        <v>2</v>
      </c>
      <c r="L89" s="5" t="s">
        <v>26</v>
      </c>
      <c r="M89" s="5">
        <v>1</v>
      </c>
      <c r="N89" s="4" t="s">
        <v>213</v>
      </c>
      <c r="O89" s="5" t="s">
        <v>28</v>
      </c>
      <c r="P89" s="5" t="s">
        <v>29</v>
      </c>
      <c r="Q89" s="5" t="s">
        <v>30</v>
      </c>
    </row>
    <row r="90" spans="1:17" ht="207.95">
      <c r="A90" s="14" t="s">
        <v>403</v>
      </c>
      <c r="B90" s="19" t="s">
        <v>235</v>
      </c>
      <c r="C90" s="5" t="s">
        <v>19</v>
      </c>
      <c r="D90" s="5">
        <v>5</v>
      </c>
      <c r="E90" s="4" t="s">
        <v>404</v>
      </c>
      <c r="F90" s="4" t="s">
        <v>21</v>
      </c>
      <c r="G90" s="4" t="s">
        <v>405</v>
      </c>
      <c r="H90" s="4" t="s">
        <v>321</v>
      </c>
      <c r="I90" s="4" t="s">
        <v>239</v>
      </c>
      <c r="J90" s="4" t="s">
        <v>240</v>
      </c>
      <c r="K90" s="5">
        <v>2</v>
      </c>
      <c r="L90" s="5" t="s">
        <v>26</v>
      </c>
      <c r="M90" s="5">
        <v>1</v>
      </c>
      <c r="N90" s="4" t="s">
        <v>241</v>
      </c>
      <c r="O90" s="5" t="s">
        <v>28</v>
      </c>
      <c r="P90" s="5" t="s">
        <v>29</v>
      </c>
      <c r="Q90" s="5" t="s">
        <v>30</v>
      </c>
    </row>
    <row r="91" spans="1:17" ht="208.5" thickBot="1">
      <c r="A91" s="14" t="s">
        <v>406</v>
      </c>
      <c r="B91" s="19" t="s">
        <v>235</v>
      </c>
      <c r="C91" s="5" t="s">
        <v>19</v>
      </c>
      <c r="D91" s="5">
        <v>5</v>
      </c>
      <c r="E91" s="4" t="s">
        <v>407</v>
      </c>
      <c r="F91" s="4" t="s">
        <v>62</v>
      </c>
      <c r="G91" s="4" t="s">
        <v>408</v>
      </c>
      <c r="H91" s="4" t="s">
        <v>321</v>
      </c>
      <c r="I91" s="4" t="s">
        <v>239</v>
      </c>
      <c r="J91" s="4" t="s">
        <v>240</v>
      </c>
      <c r="K91" s="5">
        <v>2</v>
      </c>
      <c r="L91" s="5" t="s">
        <v>26</v>
      </c>
      <c r="M91" s="5">
        <v>1</v>
      </c>
      <c r="N91" s="4" t="s">
        <v>241</v>
      </c>
      <c r="O91" s="5" t="s">
        <v>28</v>
      </c>
      <c r="P91" s="5" t="s">
        <v>29</v>
      </c>
      <c r="Q91" s="5" t="s">
        <v>30</v>
      </c>
    </row>
    <row r="92" spans="1:17" ht="221.1">
      <c r="A92" s="12" t="s">
        <v>409</v>
      </c>
      <c r="B92" s="18" t="s">
        <v>235</v>
      </c>
      <c r="C92" s="3" t="s">
        <v>19</v>
      </c>
      <c r="D92" s="3">
        <v>5</v>
      </c>
      <c r="E92" s="2" t="s">
        <v>410</v>
      </c>
      <c r="F92" s="2" t="s">
        <v>78</v>
      </c>
      <c r="G92" s="2" t="s">
        <v>411</v>
      </c>
      <c r="H92" s="2" t="s">
        <v>321</v>
      </c>
      <c r="I92" s="2" t="s">
        <v>239</v>
      </c>
      <c r="J92" s="2" t="s">
        <v>240</v>
      </c>
      <c r="K92" s="3">
        <v>2</v>
      </c>
      <c r="L92" s="3" t="s">
        <v>26</v>
      </c>
      <c r="M92" s="3">
        <v>1</v>
      </c>
      <c r="N92" s="2" t="s">
        <v>241</v>
      </c>
      <c r="O92" s="3" t="s">
        <v>28</v>
      </c>
      <c r="P92" s="3" t="s">
        <v>29</v>
      </c>
      <c r="Q92" s="3" t="s">
        <v>30</v>
      </c>
    </row>
    <row r="93" spans="1:17" ht="221.1">
      <c r="A93" s="14" t="s">
        <v>412</v>
      </c>
      <c r="B93" s="19" t="s">
        <v>235</v>
      </c>
      <c r="C93" s="5" t="s">
        <v>19</v>
      </c>
      <c r="D93" s="5">
        <v>4</v>
      </c>
      <c r="E93" s="4" t="s">
        <v>413</v>
      </c>
      <c r="F93" s="4" t="s">
        <v>122</v>
      </c>
      <c r="G93" s="4" t="s">
        <v>414</v>
      </c>
      <c r="H93" s="4" t="s">
        <v>321</v>
      </c>
      <c r="I93" s="4" t="s">
        <v>239</v>
      </c>
      <c r="J93" s="4" t="s">
        <v>240</v>
      </c>
      <c r="K93" s="5">
        <v>2</v>
      </c>
      <c r="L93" s="5" t="s">
        <v>26</v>
      </c>
      <c r="M93" s="5">
        <v>1</v>
      </c>
      <c r="N93" s="4" t="s">
        <v>241</v>
      </c>
      <c r="O93" s="5" t="s">
        <v>37</v>
      </c>
      <c r="P93" s="5" t="s">
        <v>29</v>
      </c>
      <c r="Q93" s="5" t="s">
        <v>30</v>
      </c>
    </row>
    <row r="94" spans="1:17" ht="221.1">
      <c r="A94" s="14" t="s">
        <v>415</v>
      </c>
      <c r="B94" s="19" t="s">
        <v>263</v>
      </c>
      <c r="C94" s="5" t="s">
        <v>19</v>
      </c>
      <c r="D94" s="5">
        <v>4</v>
      </c>
      <c r="E94" s="4" t="s">
        <v>416</v>
      </c>
      <c r="F94" s="4" t="s">
        <v>62</v>
      </c>
      <c r="G94" s="4" t="s">
        <v>417</v>
      </c>
      <c r="H94" s="4" t="s">
        <v>321</v>
      </c>
      <c r="I94" s="4" t="s">
        <v>267</v>
      </c>
      <c r="J94" s="4" t="s">
        <v>268</v>
      </c>
      <c r="K94" s="5">
        <v>2</v>
      </c>
      <c r="L94" s="5" t="s">
        <v>26</v>
      </c>
      <c r="M94" s="5">
        <v>1</v>
      </c>
      <c r="N94" s="4" t="s">
        <v>269</v>
      </c>
      <c r="O94" s="5" t="s">
        <v>37</v>
      </c>
      <c r="P94" s="5" t="s">
        <v>29</v>
      </c>
      <c r="Q94" s="5" t="s">
        <v>30</v>
      </c>
    </row>
    <row r="95" spans="1:17" ht="221.1">
      <c r="A95" s="14" t="s">
        <v>418</v>
      </c>
      <c r="B95" s="19" t="s">
        <v>263</v>
      </c>
      <c r="C95" s="5" t="s">
        <v>19</v>
      </c>
      <c r="D95" s="5">
        <v>5</v>
      </c>
      <c r="E95" s="4" t="s">
        <v>419</v>
      </c>
      <c r="F95" s="4" t="s">
        <v>78</v>
      </c>
      <c r="G95" s="4" t="s">
        <v>420</v>
      </c>
      <c r="H95" s="4" t="s">
        <v>321</v>
      </c>
      <c r="I95" s="4" t="s">
        <v>267</v>
      </c>
      <c r="J95" s="4" t="s">
        <v>268</v>
      </c>
      <c r="K95" s="5">
        <v>2</v>
      </c>
      <c r="L95" s="5" t="s">
        <v>26</v>
      </c>
      <c r="M95" s="5">
        <v>1</v>
      </c>
      <c r="N95" s="4" t="s">
        <v>269</v>
      </c>
      <c r="O95" s="5" t="s">
        <v>28</v>
      </c>
      <c r="P95" s="5" t="s">
        <v>29</v>
      </c>
      <c r="Q95" s="5" t="s">
        <v>30</v>
      </c>
    </row>
    <row r="96" spans="1:17" ht="221.1">
      <c r="A96" s="14" t="s">
        <v>421</v>
      </c>
      <c r="B96" s="19" t="s">
        <v>263</v>
      </c>
      <c r="C96" s="5" t="s">
        <v>19</v>
      </c>
      <c r="D96" s="5">
        <v>5</v>
      </c>
      <c r="E96" s="4" t="s">
        <v>422</v>
      </c>
      <c r="F96" s="4" t="s">
        <v>122</v>
      </c>
      <c r="G96" s="4" t="s">
        <v>423</v>
      </c>
      <c r="H96" s="4" t="s">
        <v>321</v>
      </c>
      <c r="I96" s="4" t="s">
        <v>267</v>
      </c>
      <c r="J96" s="4" t="s">
        <v>268</v>
      </c>
      <c r="K96" s="5">
        <v>2</v>
      </c>
      <c r="L96" s="5" t="s">
        <v>26</v>
      </c>
      <c r="M96" s="5">
        <v>1</v>
      </c>
      <c r="N96" s="4" t="s">
        <v>269</v>
      </c>
      <c r="O96" s="5" t="s">
        <v>28</v>
      </c>
      <c r="P96" s="5" t="s">
        <v>29</v>
      </c>
      <c r="Q96" s="5" t="s">
        <v>30</v>
      </c>
    </row>
    <row r="97" spans="1:17" ht="221.1">
      <c r="A97" s="14" t="s">
        <v>424</v>
      </c>
      <c r="B97" s="19" t="s">
        <v>263</v>
      </c>
      <c r="C97" s="5" t="s">
        <v>19</v>
      </c>
      <c r="D97" s="5">
        <v>5</v>
      </c>
      <c r="E97" s="4" t="s">
        <v>425</v>
      </c>
      <c r="F97" s="4" t="s">
        <v>21</v>
      </c>
      <c r="G97" s="4" t="s">
        <v>426</v>
      </c>
      <c r="H97" s="4" t="s">
        <v>321</v>
      </c>
      <c r="I97" s="4" t="s">
        <v>267</v>
      </c>
      <c r="J97" s="4" t="s">
        <v>268</v>
      </c>
      <c r="K97" s="5">
        <v>2</v>
      </c>
      <c r="L97" s="5" t="s">
        <v>26</v>
      </c>
      <c r="M97" s="5">
        <v>1</v>
      </c>
      <c r="N97" s="4" t="s">
        <v>269</v>
      </c>
      <c r="O97" s="5" t="s">
        <v>28</v>
      </c>
      <c r="P97" s="5" t="s">
        <v>29</v>
      </c>
      <c r="Q97" s="5" t="s">
        <v>30</v>
      </c>
    </row>
    <row r="98" spans="1:17" ht="207.95">
      <c r="A98" s="14" t="s">
        <v>427</v>
      </c>
      <c r="B98" s="19" t="s">
        <v>291</v>
      </c>
      <c r="C98" s="5" t="s">
        <v>19</v>
      </c>
      <c r="D98" s="5">
        <v>4</v>
      </c>
      <c r="E98" s="4" t="s">
        <v>428</v>
      </c>
      <c r="F98" s="4" t="s">
        <v>78</v>
      </c>
      <c r="G98" s="4" t="s">
        <v>429</v>
      </c>
      <c r="H98" s="4" t="s">
        <v>321</v>
      </c>
      <c r="I98" s="4" t="s">
        <v>295</v>
      </c>
      <c r="J98" s="4" t="s">
        <v>296</v>
      </c>
      <c r="K98" s="5">
        <v>2</v>
      </c>
      <c r="L98" s="5" t="s">
        <v>26</v>
      </c>
      <c r="M98" s="5">
        <v>1</v>
      </c>
      <c r="N98" s="4" t="s">
        <v>297</v>
      </c>
      <c r="O98" s="5" t="s">
        <v>37</v>
      </c>
      <c r="P98" s="5" t="s">
        <v>29</v>
      </c>
      <c r="Q98" s="5" t="s">
        <v>30</v>
      </c>
    </row>
    <row r="99" spans="1:17" ht="221.45" thickBot="1">
      <c r="A99" s="14" t="s">
        <v>430</v>
      </c>
      <c r="B99" s="19" t="s">
        <v>291</v>
      </c>
      <c r="C99" s="5" t="s">
        <v>19</v>
      </c>
      <c r="D99" s="5">
        <v>5</v>
      </c>
      <c r="E99" s="4" t="s">
        <v>431</v>
      </c>
      <c r="F99" s="4" t="s">
        <v>122</v>
      </c>
      <c r="G99" s="4" t="s">
        <v>432</v>
      </c>
      <c r="H99" s="4" t="s">
        <v>321</v>
      </c>
      <c r="I99" s="4" t="s">
        <v>295</v>
      </c>
      <c r="J99" s="4" t="s">
        <v>296</v>
      </c>
      <c r="K99" s="5">
        <v>2</v>
      </c>
      <c r="L99" s="5" t="s">
        <v>26</v>
      </c>
      <c r="M99" s="5">
        <v>1</v>
      </c>
      <c r="N99" s="4" t="s">
        <v>297</v>
      </c>
      <c r="O99" s="5" t="s">
        <v>28</v>
      </c>
      <c r="P99" s="5" t="s">
        <v>29</v>
      </c>
      <c r="Q99" s="5" t="s">
        <v>30</v>
      </c>
    </row>
    <row r="100" spans="1:17" ht="207.95">
      <c r="A100" s="12" t="s">
        <v>433</v>
      </c>
      <c r="B100" s="18" t="s">
        <v>291</v>
      </c>
      <c r="C100" s="3" t="s">
        <v>19</v>
      </c>
      <c r="D100" s="3">
        <v>4</v>
      </c>
      <c r="E100" s="2" t="s">
        <v>434</v>
      </c>
      <c r="F100" s="2" t="s">
        <v>21</v>
      </c>
      <c r="G100" s="2" t="s">
        <v>435</v>
      </c>
      <c r="H100" s="2" t="s">
        <v>321</v>
      </c>
      <c r="I100" s="2" t="s">
        <v>295</v>
      </c>
      <c r="J100" s="2" t="s">
        <v>296</v>
      </c>
      <c r="K100" s="3">
        <v>2</v>
      </c>
      <c r="L100" s="3" t="s">
        <v>26</v>
      </c>
      <c r="M100" s="3">
        <v>1</v>
      </c>
      <c r="N100" s="2" t="s">
        <v>297</v>
      </c>
      <c r="O100" s="3" t="s">
        <v>37</v>
      </c>
      <c r="P100" s="3" t="s">
        <v>29</v>
      </c>
      <c r="Q100" s="3" t="s">
        <v>30</v>
      </c>
    </row>
    <row r="101" spans="1:17" ht="207.95">
      <c r="A101" s="14" t="s">
        <v>436</v>
      </c>
      <c r="B101" s="19" t="s">
        <v>291</v>
      </c>
      <c r="C101" s="5" t="s">
        <v>19</v>
      </c>
      <c r="D101" s="5">
        <v>5</v>
      </c>
      <c r="E101" s="4" t="s">
        <v>437</v>
      </c>
      <c r="F101" s="4" t="s">
        <v>62</v>
      </c>
      <c r="G101" s="4" t="s">
        <v>438</v>
      </c>
      <c r="H101" s="4" t="s">
        <v>321</v>
      </c>
      <c r="I101" s="4" t="s">
        <v>295</v>
      </c>
      <c r="J101" s="4" t="s">
        <v>296</v>
      </c>
      <c r="K101" s="5">
        <v>2</v>
      </c>
      <c r="L101" s="5" t="s">
        <v>26</v>
      </c>
      <c r="M101" s="5">
        <v>1</v>
      </c>
      <c r="N101" s="4" t="s">
        <v>297</v>
      </c>
      <c r="O101" s="5" t="s">
        <v>28</v>
      </c>
      <c r="P101" s="5" t="s">
        <v>29</v>
      </c>
      <c r="Q101" s="5" t="s">
        <v>30</v>
      </c>
    </row>
    <row r="102" spans="1:17">
      <c r="A102" s="14"/>
      <c r="B102" s="19"/>
      <c r="C102" s="5"/>
      <c r="D102" s="5"/>
      <c r="E102" s="4"/>
      <c r="F102" s="4"/>
      <c r="G102" s="4"/>
      <c r="H102" s="4"/>
      <c r="I102" s="4"/>
      <c r="J102" s="4"/>
      <c r="K102" s="5"/>
      <c r="L102" s="5"/>
      <c r="M102" s="5"/>
      <c r="N102" s="4"/>
      <c r="O102" s="5"/>
      <c r="P102" s="5"/>
      <c r="Q102" s="5"/>
    </row>
    <row r="103" spans="1:17">
      <c r="A103" s="14"/>
      <c r="B103" s="19"/>
      <c r="C103" s="5"/>
      <c r="D103" s="5"/>
      <c r="E103" s="4"/>
      <c r="F103" s="4"/>
      <c r="G103" s="4"/>
      <c r="H103" s="4"/>
      <c r="I103" s="4"/>
      <c r="J103" s="4"/>
      <c r="K103" s="5"/>
      <c r="L103" s="5"/>
      <c r="M103" s="5"/>
      <c r="N103" s="4"/>
      <c r="O103" s="5"/>
      <c r="P103" s="5"/>
      <c r="Q103" s="5"/>
    </row>
    <row r="104" spans="1:17">
      <c r="A104" s="14"/>
      <c r="B104" s="19"/>
      <c r="C104" s="5"/>
      <c r="D104" s="5"/>
      <c r="E104" s="4"/>
      <c r="F104" s="4"/>
      <c r="G104" s="4"/>
      <c r="H104" s="4"/>
      <c r="I104" s="4"/>
      <c r="J104" s="4"/>
      <c r="K104" s="5"/>
      <c r="L104" s="5"/>
      <c r="M104" s="5"/>
      <c r="N104" s="4"/>
      <c r="O104" s="5"/>
      <c r="P104" s="5"/>
      <c r="Q104" s="5"/>
    </row>
    <row r="105" spans="1:17">
      <c r="A105" s="14"/>
      <c r="B105" s="19"/>
      <c r="C105" s="5"/>
      <c r="D105" s="5"/>
      <c r="E105" s="4"/>
      <c r="F105" s="4"/>
      <c r="G105" s="4"/>
      <c r="H105" s="4"/>
      <c r="I105" s="4"/>
      <c r="J105" s="4"/>
      <c r="K105" s="5"/>
      <c r="L105" s="5"/>
      <c r="M105" s="5"/>
      <c r="N105" s="4"/>
      <c r="O105" s="5"/>
      <c r="P105" s="5"/>
      <c r="Q105" s="5"/>
    </row>
    <row r="106" spans="1:17">
      <c r="A106" s="14"/>
      <c r="B106" s="19"/>
      <c r="C106" s="5"/>
      <c r="D106" s="5"/>
      <c r="E106" s="4"/>
      <c r="F106" s="4"/>
      <c r="G106" s="4"/>
      <c r="H106" s="4"/>
      <c r="I106" s="4"/>
      <c r="J106" s="4"/>
      <c r="K106" s="5"/>
      <c r="L106" s="5"/>
      <c r="M106" s="5"/>
      <c r="N106" s="4"/>
      <c r="O106" s="5"/>
      <c r="P106" s="5"/>
      <c r="Q106" s="5"/>
    </row>
    <row r="107" spans="1:17">
      <c r="A107" s="14"/>
      <c r="B107" s="19"/>
      <c r="C107" s="5"/>
      <c r="D107" s="5"/>
      <c r="E107" s="4"/>
      <c r="F107" s="4"/>
      <c r="G107" s="4"/>
      <c r="H107" s="4"/>
      <c r="I107" s="4"/>
      <c r="J107" s="4"/>
      <c r="K107" s="5"/>
      <c r="L107" s="5"/>
      <c r="M107" s="5"/>
      <c r="N107" s="4"/>
      <c r="O107" s="5"/>
      <c r="P107" s="5"/>
      <c r="Q107" s="5"/>
    </row>
    <row r="108" spans="1:17">
      <c r="A108" s="14"/>
      <c r="B108" s="19"/>
      <c r="C108" s="5"/>
      <c r="D108" s="5"/>
      <c r="E108" s="4"/>
      <c r="F108" s="4"/>
      <c r="G108" s="4"/>
      <c r="H108" s="4"/>
      <c r="I108" s="4"/>
      <c r="J108" s="4"/>
      <c r="K108" s="5"/>
      <c r="L108" s="5"/>
      <c r="M108" s="5"/>
      <c r="N108" s="4"/>
      <c r="O108" s="5"/>
      <c r="P108" s="5"/>
      <c r="Q108" s="5"/>
    </row>
    <row r="109" spans="1:17">
      <c r="A109" s="14"/>
      <c r="B109" s="19"/>
      <c r="C109" s="5"/>
      <c r="D109" s="5"/>
      <c r="E109" s="4"/>
      <c r="F109" s="4"/>
      <c r="G109" s="4"/>
      <c r="H109" s="4"/>
      <c r="I109" s="4"/>
      <c r="J109" s="4"/>
      <c r="K109" s="5"/>
      <c r="L109" s="5"/>
      <c r="M109" s="5"/>
      <c r="N109" s="4"/>
      <c r="O109" s="5"/>
      <c r="P109" s="5"/>
      <c r="Q109" s="5"/>
    </row>
    <row r="110" spans="1:17">
      <c r="A110" s="14"/>
      <c r="B110" s="19"/>
      <c r="C110" s="5"/>
      <c r="D110" s="5"/>
      <c r="E110" s="4"/>
      <c r="F110" s="4"/>
      <c r="G110" s="4"/>
      <c r="H110" s="4"/>
      <c r="I110" s="4"/>
      <c r="J110" s="4"/>
      <c r="K110" s="5"/>
      <c r="L110" s="5"/>
      <c r="M110" s="5"/>
      <c r="N110" s="4"/>
      <c r="O110" s="5"/>
      <c r="P110" s="5"/>
      <c r="Q110" s="5"/>
    </row>
    <row r="111" spans="1:17">
      <c r="A111" s="14"/>
      <c r="B111" s="19"/>
      <c r="C111" s="5"/>
      <c r="D111" s="5"/>
      <c r="E111" s="4"/>
      <c r="F111" s="4"/>
      <c r="G111" s="4"/>
      <c r="H111" s="4"/>
      <c r="I111" s="4"/>
      <c r="J111" s="4"/>
      <c r="K111" s="5"/>
      <c r="L111" s="5"/>
      <c r="M111" s="5"/>
      <c r="N111" s="4"/>
      <c r="O111" s="5"/>
      <c r="P111" s="5"/>
      <c r="Q111" s="5"/>
    </row>
    <row r="112" spans="1:17">
      <c r="A112" s="14"/>
      <c r="B112" s="19"/>
      <c r="C112" s="5"/>
      <c r="D112" s="5"/>
      <c r="E112" s="4"/>
      <c r="F112" s="4"/>
      <c r="G112" s="4"/>
      <c r="H112" s="4"/>
      <c r="I112" s="4"/>
      <c r="J112" s="4"/>
      <c r="K112" s="5"/>
      <c r="L112" s="5"/>
      <c r="M112" s="5"/>
      <c r="N112" s="4"/>
      <c r="O112" s="5"/>
      <c r="P112" s="5"/>
      <c r="Q112" s="5"/>
    </row>
    <row r="113" spans="1:17" ht="14.45" thickBot="1">
      <c r="A113" s="14"/>
      <c r="B113" s="19"/>
      <c r="C113" s="5"/>
      <c r="D113" s="5"/>
      <c r="E113" s="4"/>
      <c r="F113" s="4"/>
      <c r="G113" s="4"/>
      <c r="H113" s="4"/>
      <c r="I113" s="4"/>
      <c r="J113" s="4"/>
      <c r="K113" s="5"/>
      <c r="L113" s="5"/>
      <c r="M113" s="5"/>
      <c r="N113" s="4"/>
      <c r="O113" s="5"/>
      <c r="P113" s="5"/>
      <c r="Q113" s="5"/>
    </row>
    <row r="114" spans="1:17">
      <c r="A114" s="12"/>
      <c r="B114" s="18"/>
      <c r="C114" s="3"/>
      <c r="D114" s="3"/>
      <c r="E114" s="2"/>
      <c r="F114" s="2"/>
      <c r="G114" s="2"/>
      <c r="H114" s="2"/>
      <c r="I114" s="2"/>
      <c r="J114" s="2"/>
      <c r="K114" s="3"/>
      <c r="L114" s="3"/>
      <c r="M114" s="3"/>
      <c r="N114" s="2"/>
      <c r="O114" s="3"/>
      <c r="P114" s="3"/>
      <c r="Q114" s="3"/>
    </row>
    <row r="115" spans="1:17">
      <c r="A115" s="14"/>
      <c r="B115" s="19"/>
      <c r="C115" s="5"/>
      <c r="D115" s="5"/>
      <c r="E115" s="4"/>
      <c r="F115" s="4"/>
      <c r="G115" s="4"/>
      <c r="H115" s="4"/>
      <c r="I115" s="4"/>
      <c r="J115" s="4"/>
      <c r="K115" s="5"/>
      <c r="L115" s="5"/>
      <c r="M115" s="5"/>
      <c r="N115" s="4"/>
      <c r="O115" s="5"/>
      <c r="P115" s="5"/>
      <c r="Q115" s="5"/>
    </row>
    <row r="116" spans="1:17">
      <c r="A116" s="14"/>
      <c r="B116" s="19"/>
      <c r="C116" s="5"/>
      <c r="D116" s="5"/>
      <c r="E116" s="4"/>
      <c r="F116" s="4"/>
      <c r="G116" s="4"/>
      <c r="H116" s="4"/>
      <c r="I116" s="4"/>
      <c r="J116" s="4"/>
      <c r="K116" s="5"/>
      <c r="L116" s="5"/>
      <c r="M116" s="5"/>
      <c r="N116" s="4"/>
      <c r="O116" s="5"/>
      <c r="P116" s="5"/>
      <c r="Q116" s="5"/>
    </row>
    <row r="117" spans="1:17">
      <c r="A117" s="14"/>
      <c r="B117" s="19"/>
      <c r="C117" s="5"/>
      <c r="D117" s="5"/>
      <c r="E117" s="4"/>
      <c r="F117" s="4"/>
      <c r="G117" s="4"/>
      <c r="H117" s="4"/>
      <c r="I117" s="4"/>
      <c r="J117" s="4"/>
      <c r="K117" s="5"/>
      <c r="L117" s="5"/>
      <c r="M117" s="5"/>
      <c r="N117" s="4"/>
      <c r="O117" s="5"/>
      <c r="P117" s="5"/>
      <c r="Q117" s="5"/>
    </row>
    <row r="118" spans="1:17">
      <c r="A118" s="14"/>
      <c r="B118" s="19"/>
      <c r="C118" s="5"/>
      <c r="D118" s="5"/>
      <c r="E118" s="4"/>
      <c r="F118" s="4"/>
      <c r="G118" s="4"/>
      <c r="H118" s="4"/>
      <c r="I118" s="4"/>
      <c r="J118" s="4"/>
      <c r="K118" s="5"/>
      <c r="L118" s="5"/>
      <c r="M118" s="5"/>
      <c r="N118" s="4"/>
      <c r="O118" s="5"/>
      <c r="P118" s="5"/>
      <c r="Q118" s="5"/>
    </row>
    <row r="119" spans="1:17">
      <c r="A119" s="14"/>
      <c r="B119" s="19"/>
      <c r="C119" s="5"/>
      <c r="D119" s="5"/>
      <c r="E119" s="4"/>
      <c r="F119" s="4"/>
      <c r="G119" s="4"/>
      <c r="H119" s="4"/>
      <c r="I119" s="4"/>
      <c r="J119" s="4"/>
      <c r="K119" s="5"/>
      <c r="L119" s="5"/>
      <c r="M119" s="5"/>
      <c r="N119" s="4"/>
      <c r="O119" s="5"/>
      <c r="P119" s="5"/>
      <c r="Q119" s="5"/>
    </row>
    <row r="120" spans="1:17">
      <c r="A120" s="14"/>
      <c r="B120" s="19"/>
      <c r="C120" s="5"/>
      <c r="D120" s="5"/>
      <c r="E120" s="4"/>
      <c r="F120" s="4"/>
      <c r="G120" s="4"/>
      <c r="H120" s="4"/>
      <c r="I120" s="4"/>
      <c r="J120" s="4"/>
      <c r="K120" s="5"/>
      <c r="L120" s="5"/>
      <c r="M120" s="5"/>
      <c r="N120" s="4"/>
      <c r="O120" s="5"/>
      <c r="P120" s="5"/>
      <c r="Q120" s="5"/>
    </row>
    <row r="121" spans="1:17">
      <c r="A121" s="14"/>
      <c r="B121" s="19"/>
      <c r="C121" s="5"/>
      <c r="D121" s="5"/>
      <c r="E121" s="4"/>
      <c r="F121" s="4"/>
      <c r="G121" s="4"/>
      <c r="H121" s="4"/>
      <c r="I121" s="4"/>
      <c r="J121" s="4"/>
      <c r="K121" s="5"/>
      <c r="L121" s="5"/>
      <c r="M121" s="5"/>
      <c r="N121" s="4"/>
      <c r="O121" s="5"/>
      <c r="P121" s="5"/>
      <c r="Q121" s="5"/>
    </row>
    <row r="122" spans="1:17">
      <c r="A122" s="14"/>
      <c r="B122" s="19"/>
      <c r="C122" s="5"/>
      <c r="D122" s="5"/>
      <c r="E122" s="4"/>
      <c r="F122" s="4"/>
      <c r="G122" s="4"/>
      <c r="H122" s="4"/>
      <c r="I122" s="4"/>
      <c r="J122" s="4"/>
      <c r="K122" s="5"/>
      <c r="L122" s="5"/>
      <c r="M122" s="5"/>
      <c r="N122" s="4"/>
      <c r="O122" s="5"/>
      <c r="P122" s="5"/>
      <c r="Q122" s="5"/>
    </row>
    <row r="123" spans="1:17" ht="14.45" thickBot="1">
      <c r="A123" s="14"/>
      <c r="B123" s="19"/>
      <c r="C123" s="5"/>
      <c r="D123" s="5"/>
      <c r="E123" s="4"/>
      <c r="F123" s="4"/>
      <c r="G123" s="4"/>
      <c r="H123" s="4"/>
      <c r="I123" s="4"/>
      <c r="J123" s="4"/>
      <c r="K123" s="5"/>
      <c r="L123" s="5"/>
      <c r="M123" s="5"/>
      <c r="N123" s="4"/>
      <c r="O123" s="5"/>
      <c r="P123" s="5"/>
      <c r="Q123" s="5"/>
    </row>
    <row r="124" spans="1:17">
      <c r="A124" s="12"/>
      <c r="B124" s="18"/>
      <c r="C124" s="3"/>
      <c r="D124" s="3"/>
      <c r="E124" s="2"/>
      <c r="F124" s="2"/>
      <c r="G124" s="2"/>
      <c r="H124" s="2"/>
      <c r="I124" s="2"/>
      <c r="J124" s="2"/>
      <c r="K124" s="3"/>
      <c r="L124" s="3"/>
      <c r="M124" s="3"/>
      <c r="N124" s="2"/>
      <c r="O124" s="3"/>
      <c r="P124" s="3"/>
      <c r="Q124" s="3"/>
    </row>
    <row r="125" spans="1:17">
      <c r="A125" s="14"/>
      <c r="B125" s="19"/>
      <c r="C125" s="5"/>
      <c r="D125" s="5"/>
      <c r="E125" s="4"/>
      <c r="F125" s="4"/>
      <c r="G125" s="4"/>
      <c r="H125" s="4"/>
      <c r="I125" s="4"/>
      <c r="J125" s="4"/>
      <c r="K125" s="5"/>
      <c r="L125" s="5"/>
      <c r="M125" s="5"/>
      <c r="N125" s="4"/>
      <c r="O125" s="5"/>
      <c r="P125" s="5"/>
      <c r="Q125" s="5"/>
    </row>
    <row r="126" spans="1:17">
      <c r="A126" s="14"/>
      <c r="B126" s="19"/>
      <c r="C126" s="5"/>
      <c r="D126" s="5"/>
      <c r="E126" s="4"/>
      <c r="F126" s="4"/>
      <c r="G126" s="4"/>
      <c r="H126" s="4"/>
      <c r="I126" s="4"/>
      <c r="J126" s="4"/>
      <c r="K126" s="5"/>
      <c r="L126" s="5"/>
      <c r="M126" s="5"/>
      <c r="N126" s="4"/>
      <c r="O126" s="5"/>
      <c r="P126" s="5"/>
      <c r="Q126" s="5"/>
    </row>
    <row r="127" spans="1:17">
      <c r="A127" s="14"/>
      <c r="B127" s="19"/>
      <c r="C127" s="5"/>
      <c r="D127" s="5"/>
      <c r="E127" s="4"/>
      <c r="F127" s="4"/>
      <c r="G127" s="4"/>
      <c r="H127" s="4"/>
      <c r="I127" s="4"/>
      <c r="J127" s="4"/>
      <c r="K127" s="5"/>
      <c r="L127" s="5"/>
      <c r="M127" s="5"/>
      <c r="N127" s="4"/>
      <c r="O127" s="5"/>
      <c r="P127" s="5"/>
      <c r="Q127" s="5"/>
    </row>
    <row r="128" spans="1:17">
      <c r="A128" s="14"/>
      <c r="B128" s="19"/>
      <c r="C128" s="5"/>
      <c r="D128" s="5"/>
      <c r="E128" s="4"/>
      <c r="F128" s="4"/>
      <c r="G128" s="4"/>
      <c r="H128" s="4"/>
      <c r="I128" s="4"/>
      <c r="J128" s="4"/>
      <c r="K128" s="5"/>
      <c r="L128" s="5"/>
      <c r="M128" s="5"/>
      <c r="N128" s="4"/>
      <c r="O128" s="5"/>
      <c r="P128" s="5"/>
      <c r="Q128" s="5"/>
    </row>
    <row r="129" spans="1:17">
      <c r="A129" s="14"/>
      <c r="B129" s="19"/>
      <c r="C129" s="5"/>
      <c r="D129" s="5"/>
      <c r="E129" s="4"/>
      <c r="F129" s="4"/>
      <c r="G129" s="4"/>
      <c r="H129" s="4"/>
      <c r="I129" s="4"/>
      <c r="J129" s="4"/>
      <c r="K129" s="5"/>
      <c r="L129" s="5"/>
      <c r="M129" s="5"/>
      <c r="N129" s="4"/>
      <c r="O129" s="5"/>
      <c r="P129" s="5"/>
      <c r="Q129" s="5"/>
    </row>
    <row r="130" spans="1:17" ht="14.45" thickBot="1">
      <c r="A130" s="14"/>
      <c r="B130" s="19"/>
      <c r="C130" s="5"/>
      <c r="D130" s="5"/>
      <c r="E130" s="4"/>
      <c r="F130" s="4"/>
      <c r="G130" s="4"/>
      <c r="H130" s="4"/>
      <c r="I130" s="4"/>
      <c r="J130" s="4"/>
      <c r="K130" s="5"/>
      <c r="L130" s="5"/>
      <c r="M130" s="5"/>
      <c r="N130" s="4"/>
      <c r="O130" s="5"/>
      <c r="P130" s="5"/>
      <c r="Q130" s="5"/>
    </row>
    <row r="131" spans="1:17">
      <c r="A131" s="12"/>
      <c r="B131" s="18"/>
      <c r="C131" s="3"/>
      <c r="D131" s="3"/>
      <c r="E131" s="2"/>
      <c r="F131" s="2"/>
      <c r="G131" s="2"/>
      <c r="H131" s="2"/>
      <c r="I131" s="2"/>
      <c r="J131" s="2"/>
      <c r="K131" s="3"/>
      <c r="L131" s="3"/>
      <c r="M131" s="3"/>
      <c r="N131" s="2"/>
      <c r="O131" s="3"/>
      <c r="P131" s="3"/>
      <c r="Q131" s="3"/>
    </row>
    <row r="132" spans="1:17">
      <c r="A132" s="14"/>
      <c r="B132" s="19"/>
      <c r="C132" s="5"/>
      <c r="D132" s="5"/>
      <c r="E132" s="4"/>
      <c r="F132" s="4"/>
      <c r="G132" s="4"/>
      <c r="H132" s="4"/>
      <c r="I132" s="4"/>
      <c r="J132" s="4"/>
      <c r="K132" s="5"/>
      <c r="L132" s="5"/>
      <c r="M132" s="5"/>
      <c r="N132" s="4"/>
      <c r="O132" s="5"/>
      <c r="P132" s="5"/>
      <c r="Q132" s="5"/>
    </row>
    <row r="133" spans="1:17" ht="14.45" thickBot="1">
      <c r="A133" s="14"/>
      <c r="B133" s="19"/>
      <c r="C133" s="5"/>
      <c r="D133" s="5"/>
      <c r="E133" s="4"/>
      <c r="F133" s="4"/>
      <c r="G133" s="4"/>
      <c r="H133" s="4"/>
      <c r="I133" s="4"/>
      <c r="J133" s="4"/>
      <c r="K133" s="5"/>
      <c r="L133" s="5"/>
      <c r="M133" s="5"/>
      <c r="N133" s="4"/>
      <c r="O133" s="5"/>
      <c r="P133" s="5"/>
      <c r="Q133" s="5"/>
    </row>
    <row r="134" spans="1:17">
      <c r="A134" s="12"/>
      <c r="B134" s="20"/>
      <c r="C134" s="3"/>
      <c r="D134" s="3"/>
      <c r="E134" s="2"/>
      <c r="F134" s="2"/>
      <c r="G134" s="2"/>
      <c r="H134" s="2"/>
      <c r="I134" s="2"/>
      <c r="J134" s="2"/>
      <c r="K134" s="3"/>
      <c r="L134" s="3"/>
      <c r="M134" s="3"/>
      <c r="N134" s="2"/>
      <c r="O134" s="3"/>
      <c r="P134" s="3"/>
      <c r="Q134" s="3"/>
    </row>
    <row r="135" spans="1:17">
      <c r="A135" s="14"/>
      <c r="B135" s="21"/>
      <c r="C135" s="5"/>
      <c r="D135" s="5"/>
      <c r="E135" s="4"/>
      <c r="F135" s="4"/>
      <c r="G135" s="4"/>
      <c r="H135" s="4"/>
      <c r="I135" s="4"/>
      <c r="J135" s="4"/>
      <c r="K135" s="5"/>
      <c r="L135" s="5"/>
      <c r="M135" s="5"/>
      <c r="N135" s="4"/>
      <c r="O135" s="5"/>
      <c r="P135" s="5"/>
      <c r="Q135" s="5"/>
    </row>
    <row r="136" spans="1:17">
      <c r="A136" s="14"/>
      <c r="B136" s="21"/>
      <c r="C136" s="5"/>
      <c r="D136" s="5"/>
      <c r="E136" s="4"/>
      <c r="F136" s="4"/>
      <c r="G136" s="4"/>
      <c r="H136" s="4"/>
      <c r="I136" s="4"/>
      <c r="J136" s="4"/>
      <c r="K136" s="5"/>
      <c r="L136" s="5"/>
      <c r="M136" s="5"/>
      <c r="N136" s="4"/>
      <c r="O136" s="5"/>
      <c r="P136" s="5"/>
      <c r="Q136" s="5"/>
    </row>
    <row r="137" spans="1:17" ht="14.45" thickBot="1">
      <c r="A137" s="14"/>
      <c r="B137" s="21"/>
      <c r="C137" s="5"/>
      <c r="D137" s="5"/>
      <c r="E137" s="4"/>
      <c r="F137" s="4"/>
      <c r="G137" s="4"/>
      <c r="H137" s="4"/>
      <c r="I137" s="4"/>
      <c r="J137" s="4"/>
      <c r="K137" s="5"/>
      <c r="L137" s="5"/>
      <c r="M137" s="5"/>
      <c r="N137" s="4"/>
      <c r="O137" s="5"/>
      <c r="P137" s="5"/>
      <c r="Q137" s="5"/>
    </row>
    <row r="138" spans="1:17">
      <c r="A138" s="12"/>
      <c r="B138" s="20"/>
      <c r="C138" s="3"/>
      <c r="D138" s="3"/>
      <c r="E138" s="2"/>
      <c r="F138" s="2"/>
      <c r="G138" s="2"/>
      <c r="H138" s="2"/>
      <c r="I138" s="2"/>
      <c r="J138" s="2"/>
      <c r="K138" s="3"/>
      <c r="L138" s="3"/>
      <c r="M138" s="3"/>
      <c r="N138" s="2"/>
      <c r="O138" s="3"/>
      <c r="P138" s="3"/>
      <c r="Q138" s="3"/>
    </row>
    <row r="139" spans="1:17">
      <c r="A139" s="14"/>
      <c r="B139" s="21"/>
      <c r="C139" s="5"/>
      <c r="D139" s="5"/>
      <c r="E139" s="4"/>
      <c r="F139" s="4"/>
      <c r="G139" s="4"/>
      <c r="H139" s="4"/>
      <c r="I139" s="4"/>
      <c r="J139" s="4"/>
      <c r="K139" s="5"/>
      <c r="L139" s="5"/>
      <c r="M139" s="5"/>
      <c r="N139" s="4"/>
      <c r="O139" s="5"/>
      <c r="P139" s="5"/>
      <c r="Q139" s="5"/>
    </row>
    <row r="140" spans="1:17" ht="14.45" thickBot="1">
      <c r="A140" s="14"/>
      <c r="B140" s="21"/>
      <c r="C140" s="5"/>
      <c r="D140" s="5"/>
      <c r="E140" s="4"/>
      <c r="F140" s="4"/>
      <c r="G140" s="4"/>
      <c r="H140" s="4"/>
      <c r="I140" s="4"/>
      <c r="J140" s="4"/>
      <c r="K140" s="5"/>
      <c r="L140" s="5"/>
      <c r="M140" s="5"/>
      <c r="N140" s="4"/>
      <c r="O140" s="5"/>
      <c r="P140" s="5"/>
      <c r="Q140" s="5"/>
    </row>
    <row r="141" spans="1:17">
      <c r="A141" s="12"/>
      <c r="B141" s="20"/>
      <c r="C141" s="3"/>
      <c r="D141" s="3"/>
      <c r="E141" s="2"/>
      <c r="F141" s="2"/>
      <c r="G141" s="2"/>
      <c r="H141" s="2"/>
      <c r="I141" s="2"/>
      <c r="J141" s="2"/>
      <c r="K141" s="3"/>
      <c r="L141" s="3"/>
      <c r="M141" s="3"/>
      <c r="N141" s="2"/>
      <c r="O141" s="3"/>
      <c r="P141" s="3"/>
      <c r="Q141" s="3"/>
    </row>
    <row r="142" spans="1:17" ht="14.45" thickBot="1">
      <c r="A142" s="14"/>
      <c r="B142" s="21"/>
      <c r="C142" s="5"/>
      <c r="D142" s="5"/>
      <c r="E142" s="4"/>
      <c r="F142" s="4"/>
      <c r="G142" s="4"/>
      <c r="H142" s="4"/>
      <c r="I142" s="4"/>
      <c r="J142" s="4"/>
      <c r="K142" s="5"/>
      <c r="L142" s="5"/>
      <c r="M142" s="5"/>
      <c r="N142" s="4"/>
      <c r="O142" s="5"/>
      <c r="P142" s="5"/>
      <c r="Q142" s="5"/>
    </row>
    <row r="143" spans="1:17" ht="14.45" thickBot="1">
      <c r="A143" s="12"/>
      <c r="B143" s="20"/>
      <c r="C143" s="3"/>
      <c r="D143" s="3"/>
      <c r="E143" s="2"/>
      <c r="F143" s="2"/>
      <c r="G143" s="2"/>
      <c r="H143" s="2"/>
      <c r="I143" s="2"/>
      <c r="J143" s="2"/>
      <c r="K143" s="3"/>
      <c r="L143" s="3"/>
      <c r="M143" s="3"/>
      <c r="N143" s="2"/>
      <c r="O143" s="3"/>
      <c r="P143" s="3"/>
      <c r="Q143" s="3"/>
    </row>
    <row r="144" spans="1:17" ht="14.45" thickBot="1">
      <c r="A144" s="12"/>
      <c r="B144" s="22"/>
      <c r="C144" s="3"/>
      <c r="D144" s="3"/>
      <c r="E144" s="2"/>
      <c r="F144" s="2"/>
      <c r="G144" s="2"/>
      <c r="H144" s="2"/>
      <c r="I144" s="2"/>
      <c r="J144" s="2"/>
      <c r="K144" s="3"/>
      <c r="L144" s="3"/>
      <c r="M144" s="3"/>
      <c r="N144" s="2"/>
      <c r="O144" s="3"/>
      <c r="P144" s="3"/>
      <c r="Q144" s="3"/>
    </row>
    <row r="145" spans="1:17">
      <c r="A145" s="12"/>
      <c r="B145" s="22"/>
      <c r="C145" s="3"/>
      <c r="D145" s="3"/>
      <c r="E145" s="2"/>
      <c r="F145" s="2"/>
      <c r="G145" s="2"/>
      <c r="H145" s="2"/>
      <c r="I145" s="2"/>
      <c r="J145" s="2"/>
      <c r="K145" s="3"/>
      <c r="L145" s="3"/>
      <c r="M145" s="3"/>
      <c r="N145" s="2"/>
      <c r="O145" s="3"/>
      <c r="P145" s="3"/>
      <c r="Q145" s="3"/>
    </row>
    <row r="146" spans="1:17" ht="14.45" thickBot="1">
      <c r="A146" s="14"/>
      <c r="B146" s="23"/>
      <c r="C146" s="5"/>
      <c r="D146" s="5"/>
      <c r="E146" s="4"/>
      <c r="F146" s="4"/>
      <c r="G146" s="4"/>
      <c r="H146" s="4"/>
      <c r="I146" s="4"/>
      <c r="J146" s="4"/>
      <c r="K146" s="5"/>
      <c r="L146" s="5"/>
      <c r="M146" s="5"/>
      <c r="N146" s="4"/>
      <c r="O146" s="5"/>
      <c r="P146" s="5"/>
      <c r="Q146" s="5"/>
    </row>
    <row r="147" spans="1:17" ht="14.45" thickBot="1">
      <c r="A147" s="12"/>
      <c r="B147" s="22"/>
      <c r="C147" s="3"/>
      <c r="D147" s="3"/>
      <c r="E147" s="2"/>
      <c r="F147" s="2"/>
      <c r="G147" s="2"/>
      <c r="H147" s="2"/>
      <c r="I147" s="2"/>
      <c r="J147" s="2"/>
      <c r="K147" s="3"/>
      <c r="L147" s="3"/>
      <c r="M147" s="3"/>
      <c r="N147" s="2"/>
      <c r="O147" s="3"/>
      <c r="P147" s="3"/>
      <c r="Q147" s="3"/>
    </row>
    <row r="148" spans="1:17" ht="14.45" thickBot="1">
      <c r="A148" s="12"/>
      <c r="B148" s="22"/>
      <c r="C148" s="3"/>
      <c r="D148" s="3"/>
      <c r="E148" s="2"/>
      <c r="F148" s="2"/>
      <c r="G148" s="2"/>
      <c r="H148" s="2"/>
      <c r="I148" s="2"/>
      <c r="J148" s="2"/>
      <c r="K148" s="3"/>
      <c r="L148" s="3"/>
      <c r="M148" s="3"/>
      <c r="N148" s="2"/>
      <c r="O148" s="3"/>
      <c r="P148" s="3"/>
      <c r="Q148" s="3"/>
    </row>
    <row r="149" spans="1:17" ht="14.45" thickBot="1">
      <c r="A149" s="12"/>
      <c r="B149" s="24"/>
      <c r="C149" s="3"/>
      <c r="D149" s="3"/>
      <c r="E149" s="2"/>
      <c r="F149" s="2"/>
      <c r="G149" s="2"/>
      <c r="H149" s="2"/>
      <c r="I149" s="2"/>
      <c r="J149" s="2"/>
      <c r="K149" s="3"/>
      <c r="L149" s="3"/>
      <c r="M149" s="3"/>
      <c r="N149" s="2"/>
      <c r="O149" s="3"/>
      <c r="P149" s="3"/>
      <c r="Q149" s="3"/>
    </row>
    <row r="150" spans="1:17">
      <c r="A150" s="12"/>
      <c r="B150" s="25"/>
      <c r="C150" s="3"/>
      <c r="D150" s="3"/>
      <c r="E150" s="2"/>
      <c r="F150" s="2"/>
      <c r="G150" s="2"/>
      <c r="H150" s="2"/>
      <c r="I150" s="2"/>
      <c r="J150" s="2"/>
      <c r="K150" s="3"/>
      <c r="L150" s="3"/>
      <c r="M150" s="3"/>
      <c r="N150" s="2"/>
      <c r="O150" s="3"/>
      <c r="P150" s="3"/>
      <c r="Q150" s="3"/>
    </row>
    <row r="151" spans="1:17">
      <c r="A151" s="14"/>
      <c r="B151" s="26"/>
      <c r="C151" s="5"/>
      <c r="D151" s="5"/>
      <c r="E151" s="4"/>
      <c r="F151" s="4"/>
      <c r="G151" s="4"/>
      <c r="H151" s="4"/>
      <c r="I151" s="4"/>
      <c r="J151" s="4"/>
      <c r="K151" s="5"/>
      <c r="L151" s="5"/>
      <c r="M151" s="5"/>
      <c r="N151" s="4"/>
      <c r="O151" s="5"/>
      <c r="P151" s="5"/>
      <c r="Q151" s="5"/>
    </row>
    <row r="152" spans="1:17">
      <c r="A152" s="14"/>
      <c r="B152" s="26"/>
      <c r="C152" s="5"/>
      <c r="D152" s="5"/>
      <c r="E152" s="4"/>
      <c r="F152" s="4"/>
      <c r="G152" s="4"/>
      <c r="H152" s="4"/>
      <c r="I152" s="4"/>
      <c r="J152" s="4"/>
      <c r="K152" s="5"/>
      <c r="L152" s="5"/>
      <c r="M152" s="5"/>
      <c r="N152" s="4"/>
      <c r="O152" s="5"/>
      <c r="P152" s="5"/>
      <c r="Q152" s="5"/>
    </row>
    <row r="153" spans="1:17">
      <c r="A153" s="14"/>
      <c r="B153" s="26"/>
      <c r="C153" s="5"/>
      <c r="D153" s="5"/>
      <c r="E153" s="4"/>
      <c r="F153" s="4"/>
      <c r="G153" s="4"/>
      <c r="H153" s="4"/>
      <c r="I153" s="4"/>
      <c r="J153" s="4"/>
      <c r="K153" s="5"/>
      <c r="L153" s="5"/>
      <c r="M153" s="5"/>
      <c r="N153" s="4"/>
      <c r="O153" s="5"/>
      <c r="P153" s="5"/>
      <c r="Q153" s="5"/>
    </row>
    <row r="154" spans="1:17">
      <c r="A154" s="14"/>
      <c r="B154" s="26"/>
      <c r="C154" s="5"/>
      <c r="D154" s="5"/>
      <c r="E154" s="4"/>
      <c r="F154" s="4"/>
      <c r="G154" s="4"/>
      <c r="H154" s="4"/>
      <c r="I154" s="4"/>
      <c r="J154" s="4"/>
      <c r="K154" s="5"/>
      <c r="L154" s="5"/>
      <c r="M154" s="5"/>
      <c r="N154" s="4"/>
      <c r="O154" s="5"/>
      <c r="P154" s="5"/>
      <c r="Q154" s="5"/>
    </row>
    <row r="155" spans="1:17">
      <c r="A155" s="14"/>
      <c r="B155" s="26"/>
      <c r="C155" s="5"/>
      <c r="D155" s="5"/>
      <c r="E155" s="4"/>
      <c r="F155" s="4"/>
      <c r="G155" s="4"/>
      <c r="H155" s="4"/>
      <c r="I155" s="4"/>
      <c r="J155" s="4"/>
      <c r="K155" s="5"/>
      <c r="L155" s="5"/>
      <c r="M155" s="5"/>
      <c r="N155" s="4"/>
      <c r="O155" s="5"/>
      <c r="P155" s="5"/>
      <c r="Q155" s="5"/>
    </row>
    <row r="156" spans="1:17">
      <c r="A156" s="14"/>
      <c r="B156" s="26"/>
      <c r="C156" s="5"/>
      <c r="D156" s="5"/>
      <c r="E156" s="4"/>
      <c r="F156" s="4"/>
      <c r="G156" s="4"/>
      <c r="H156" s="4"/>
      <c r="I156" s="4"/>
      <c r="J156" s="4"/>
      <c r="K156" s="5"/>
      <c r="L156" s="5"/>
      <c r="M156" s="5"/>
      <c r="N156" s="4"/>
      <c r="O156" s="5"/>
      <c r="P156" s="5"/>
      <c r="Q156" s="5"/>
    </row>
    <row r="157" spans="1:17">
      <c r="A157" s="14"/>
      <c r="B157" s="26"/>
      <c r="C157" s="5"/>
      <c r="D157" s="5"/>
      <c r="E157" s="4"/>
      <c r="F157" s="4"/>
      <c r="G157" s="4"/>
      <c r="H157" s="4"/>
      <c r="I157" s="4"/>
      <c r="J157" s="4"/>
      <c r="K157" s="5"/>
      <c r="L157" s="5"/>
      <c r="M157" s="5"/>
      <c r="N157" s="4"/>
      <c r="O157" s="5"/>
      <c r="P157" s="5"/>
      <c r="Q157" s="5"/>
    </row>
    <row r="158" spans="1:17">
      <c r="A158" s="14"/>
      <c r="B158" s="26"/>
      <c r="C158" s="5"/>
      <c r="D158" s="5"/>
      <c r="E158" s="4"/>
      <c r="F158" s="4"/>
      <c r="G158" s="4"/>
      <c r="H158" s="4"/>
      <c r="I158" s="4"/>
      <c r="J158" s="4"/>
      <c r="K158" s="5"/>
      <c r="L158" s="5"/>
      <c r="M158" s="5"/>
      <c r="N158" s="4"/>
      <c r="O158" s="5"/>
      <c r="P158" s="5"/>
      <c r="Q158" s="5"/>
    </row>
    <row r="159" spans="1:17" ht="14.45" thickBot="1">
      <c r="A159" s="14"/>
      <c r="B159" s="26"/>
      <c r="C159" s="5"/>
      <c r="D159" s="5"/>
      <c r="E159" s="4"/>
      <c r="F159" s="4"/>
      <c r="G159" s="4"/>
      <c r="H159" s="4"/>
      <c r="I159" s="4"/>
      <c r="J159" s="4"/>
      <c r="K159" s="5"/>
      <c r="L159" s="5"/>
      <c r="M159" s="5"/>
      <c r="N159" s="4"/>
      <c r="O159" s="5"/>
      <c r="P159" s="5"/>
      <c r="Q159" s="5"/>
    </row>
    <row r="160" spans="1:17">
      <c r="A160" s="12"/>
      <c r="B160" s="25"/>
      <c r="C160" s="3"/>
      <c r="D160" s="3"/>
      <c r="E160" s="2"/>
      <c r="F160" s="2"/>
      <c r="G160" s="2"/>
      <c r="H160" s="2"/>
      <c r="I160" s="2"/>
      <c r="J160" s="2"/>
      <c r="K160" s="3"/>
      <c r="L160" s="3"/>
      <c r="M160" s="3"/>
      <c r="N160" s="2"/>
      <c r="O160" s="3"/>
      <c r="P160" s="3"/>
      <c r="Q160" s="3"/>
    </row>
    <row r="161" spans="1:17">
      <c r="A161" s="14"/>
      <c r="B161" s="26"/>
      <c r="C161" s="5"/>
      <c r="D161" s="5"/>
      <c r="E161" s="4"/>
      <c r="F161" s="4"/>
      <c r="G161" s="4"/>
      <c r="H161" s="4"/>
      <c r="I161" s="4"/>
      <c r="J161" s="4"/>
      <c r="K161" s="5"/>
      <c r="L161" s="5"/>
      <c r="M161" s="5"/>
      <c r="N161" s="4"/>
      <c r="O161" s="5"/>
      <c r="P161" s="5"/>
      <c r="Q161" s="5"/>
    </row>
    <row r="162" spans="1:17">
      <c r="A162" s="14"/>
      <c r="B162" s="26"/>
      <c r="C162" s="5"/>
      <c r="D162" s="5"/>
      <c r="E162" s="4"/>
      <c r="F162" s="4"/>
      <c r="G162" s="4"/>
      <c r="H162" s="4"/>
      <c r="I162" s="4"/>
      <c r="J162" s="4"/>
      <c r="K162" s="5"/>
      <c r="L162" s="5"/>
      <c r="M162" s="5"/>
      <c r="N162" s="4"/>
      <c r="O162" s="5"/>
      <c r="P162" s="5"/>
      <c r="Q162" s="5"/>
    </row>
    <row r="163" spans="1:17">
      <c r="A163" s="14"/>
      <c r="B163" s="26"/>
      <c r="C163" s="5"/>
      <c r="D163" s="5"/>
      <c r="E163" s="4"/>
      <c r="F163" s="4"/>
      <c r="G163" s="4"/>
      <c r="H163" s="4"/>
      <c r="I163" s="4"/>
      <c r="J163" s="4"/>
      <c r="K163" s="5"/>
      <c r="L163" s="5"/>
      <c r="M163" s="5"/>
      <c r="N163" s="4"/>
      <c r="O163" s="5"/>
      <c r="P163" s="5"/>
      <c r="Q163" s="5"/>
    </row>
    <row r="164" spans="1:17">
      <c r="A164" s="14"/>
      <c r="B164" s="26"/>
      <c r="C164" s="5"/>
      <c r="D164" s="5"/>
      <c r="E164" s="4"/>
      <c r="F164" s="4"/>
      <c r="G164" s="4"/>
      <c r="H164" s="4"/>
      <c r="I164" s="4"/>
      <c r="J164" s="4"/>
      <c r="K164" s="5"/>
      <c r="L164" s="5"/>
      <c r="M164" s="5"/>
      <c r="N164" s="4"/>
      <c r="O164" s="5"/>
      <c r="P164" s="5"/>
      <c r="Q164" s="5"/>
    </row>
    <row r="165" spans="1:17">
      <c r="A165" s="14"/>
      <c r="B165" s="26"/>
      <c r="C165" s="5"/>
      <c r="D165" s="5"/>
      <c r="E165" s="4"/>
      <c r="F165" s="4"/>
      <c r="G165" s="4"/>
      <c r="H165" s="4"/>
      <c r="I165" s="4"/>
      <c r="J165" s="4"/>
      <c r="K165" s="5"/>
      <c r="L165" s="5"/>
      <c r="M165" s="5"/>
      <c r="N165" s="4"/>
      <c r="O165" s="5"/>
      <c r="P165" s="5"/>
      <c r="Q165" s="5"/>
    </row>
    <row r="166" spans="1:17">
      <c r="A166" s="14"/>
      <c r="B166" s="26"/>
      <c r="C166" s="5"/>
      <c r="D166" s="5"/>
      <c r="E166" s="4"/>
      <c r="F166" s="4"/>
      <c r="G166" s="4"/>
      <c r="H166" s="4"/>
      <c r="I166" s="4"/>
      <c r="J166" s="4"/>
      <c r="K166" s="5"/>
      <c r="L166" s="5"/>
      <c r="M166" s="5"/>
      <c r="N166" s="4"/>
      <c r="O166" s="5"/>
      <c r="P166" s="5"/>
      <c r="Q166" s="5"/>
    </row>
    <row r="167" spans="1:17">
      <c r="A167" s="14"/>
      <c r="B167" s="26"/>
      <c r="C167" s="5"/>
      <c r="D167" s="5"/>
      <c r="E167" s="4"/>
      <c r="F167" s="4"/>
      <c r="G167" s="4"/>
      <c r="H167" s="4"/>
      <c r="I167" s="4"/>
      <c r="J167" s="4"/>
      <c r="K167" s="5"/>
      <c r="L167" s="5"/>
      <c r="M167" s="5"/>
      <c r="N167" s="4"/>
      <c r="O167" s="5"/>
      <c r="P167" s="5"/>
      <c r="Q167" s="5"/>
    </row>
    <row r="168" spans="1:17">
      <c r="A168" s="14"/>
      <c r="B168" s="26"/>
      <c r="C168" s="5"/>
      <c r="D168" s="5"/>
      <c r="E168" s="4"/>
      <c r="F168" s="4"/>
      <c r="G168" s="4"/>
      <c r="H168" s="4"/>
      <c r="I168" s="4"/>
      <c r="J168" s="4"/>
      <c r="K168" s="5"/>
      <c r="L168" s="5"/>
      <c r="M168" s="5"/>
      <c r="N168" s="4"/>
      <c r="O168" s="5"/>
      <c r="P168" s="5"/>
      <c r="Q168" s="5"/>
    </row>
    <row r="169" spans="1:17" ht="14.45" thickBot="1">
      <c r="A169" s="14"/>
      <c r="B169" s="26"/>
      <c r="C169" s="5"/>
      <c r="D169" s="5"/>
      <c r="E169" s="4"/>
      <c r="F169" s="4"/>
      <c r="G169" s="4"/>
      <c r="H169" s="4"/>
      <c r="I169" s="4"/>
      <c r="J169" s="4"/>
      <c r="K169" s="5"/>
      <c r="L169" s="5"/>
      <c r="M169" s="5"/>
      <c r="N169" s="4"/>
      <c r="O169" s="5"/>
      <c r="P169" s="5"/>
      <c r="Q169" s="5"/>
    </row>
    <row r="170" spans="1:17">
      <c r="A170" s="12"/>
      <c r="B170" s="25"/>
      <c r="C170" s="3"/>
      <c r="D170" s="3"/>
      <c r="E170" s="2"/>
      <c r="F170" s="2"/>
      <c r="G170" s="2"/>
      <c r="H170" s="2"/>
      <c r="I170" s="2"/>
      <c r="J170" s="2"/>
      <c r="K170" s="3"/>
      <c r="L170" s="3"/>
      <c r="M170" s="3"/>
      <c r="N170" s="2"/>
      <c r="O170" s="3"/>
      <c r="P170" s="3"/>
      <c r="Q170" s="3"/>
    </row>
    <row r="171" spans="1:17">
      <c r="A171" s="14"/>
      <c r="B171" s="26"/>
      <c r="C171" s="5"/>
      <c r="D171" s="5"/>
      <c r="E171" s="4"/>
      <c r="F171" s="4"/>
      <c r="G171" s="4"/>
      <c r="H171" s="4"/>
      <c r="I171" s="4"/>
      <c r="J171" s="4"/>
      <c r="K171" s="5"/>
      <c r="L171" s="5"/>
      <c r="M171" s="5"/>
      <c r="N171" s="4"/>
      <c r="O171" s="5"/>
      <c r="P171" s="5"/>
      <c r="Q171" s="5"/>
    </row>
    <row r="172" spans="1:17">
      <c r="A172" s="14"/>
      <c r="B172" s="26"/>
      <c r="C172" s="5"/>
      <c r="D172" s="5"/>
      <c r="E172" s="4"/>
      <c r="F172" s="4"/>
      <c r="G172" s="4"/>
      <c r="H172" s="4"/>
      <c r="I172" s="4"/>
      <c r="J172" s="4"/>
      <c r="K172" s="5"/>
      <c r="L172" s="5"/>
      <c r="M172" s="5"/>
      <c r="N172" s="4"/>
      <c r="O172" s="5"/>
      <c r="P172" s="5"/>
      <c r="Q172" s="5"/>
    </row>
    <row r="173" spans="1:17">
      <c r="A173" s="14"/>
      <c r="B173" s="26"/>
      <c r="C173" s="5"/>
      <c r="D173" s="5"/>
      <c r="E173" s="4"/>
      <c r="F173" s="4"/>
      <c r="G173" s="4"/>
      <c r="H173" s="4"/>
      <c r="I173" s="4"/>
      <c r="J173" s="4"/>
      <c r="K173" s="5"/>
      <c r="L173" s="5"/>
      <c r="M173" s="5"/>
      <c r="N173" s="4"/>
      <c r="O173" s="5"/>
      <c r="P173" s="5"/>
      <c r="Q173" s="5"/>
    </row>
    <row r="174" spans="1:17">
      <c r="A174" s="14"/>
      <c r="B174" s="26"/>
      <c r="C174" s="5"/>
      <c r="D174" s="5"/>
      <c r="E174" s="4"/>
      <c r="F174" s="4"/>
      <c r="G174" s="4"/>
      <c r="H174" s="4"/>
      <c r="I174" s="4"/>
      <c r="J174" s="4"/>
      <c r="K174" s="5"/>
      <c r="L174" s="5"/>
      <c r="M174" s="5"/>
      <c r="N174" s="4"/>
      <c r="O174" s="5"/>
      <c r="P174" s="5"/>
      <c r="Q174" s="5"/>
    </row>
    <row r="175" spans="1:17">
      <c r="A175" s="14"/>
      <c r="B175" s="26"/>
      <c r="C175" s="5"/>
      <c r="D175" s="5"/>
      <c r="E175" s="4"/>
      <c r="F175" s="4"/>
      <c r="G175" s="4"/>
      <c r="H175" s="4"/>
      <c r="I175" s="4"/>
      <c r="J175" s="4"/>
      <c r="K175" s="5"/>
      <c r="L175" s="5"/>
      <c r="M175" s="5"/>
      <c r="N175" s="4"/>
      <c r="O175" s="5"/>
      <c r="P175" s="5"/>
      <c r="Q175" s="5"/>
    </row>
    <row r="176" spans="1:17">
      <c r="A176" s="14"/>
      <c r="B176" s="26"/>
      <c r="C176" s="5"/>
      <c r="D176" s="5"/>
      <c r="E176" s="4"/>
      <c r="F176" s="4"/>
      <c r="G176" s="4"/>
      <c r="H176" s="4"/>
      <c r="I176" s="4"/>
      <c r="J176" s="4"/>
      <c r="K176" s="5"/>
      <c r="L176" s="5"/>
      <c r="M176" s="5"/>
      <c r="N176" s="4"/>
      <c r="O176" s="5"/>
      <c r="P176" s="5"/>
      <c r="Q176" s="5"/>
    </row>
    <row r="177" spans="1:17">
      <c r="A177" s="14"/>
      <c r="B177" s="26"/>
      <c r="C177" s="5"/>
      <c r="D177" s="5"/>
      <c r="E177" s="4"/>
      <c r="F177" s="4"/>
      <c r="G177" s="4"/>
      <c r="H177" s="4"/>
      <c r="I177" s="4"/>
      <c r="J177" s="4"/>
      <c r="K177" s="5"/>
      <c r="L177" s="5"/>
      <c r="M177" s="5"/>
      <c r="N177" s="4"/>
      <c r="O177" s="5"/>
      <c r="P177" s="5"/>
      <c r="Q177" s="5"/>
    </row>
    <row r="178" spans="1:17">
      <c r="A178" s="14"/>
      <c r="B178" s="26"/>
      <c r="C178" s="5"/>
      <c r="D178" s="5"/>
      <c r="E178" s="4"/>
      <c r="F178" s="4"/>
      <c r="G178" s="4"/>
      <c r="H178" s="4"/>
      <c r="I178" s="4"/>
      <c r="J178" s="4"/>
      <c r="K178" s="5"/>
      <c r="L178" s="5"/>
      <c r="M178" s="5"/>
      <c r="N178" s="4"/>
      <c r="O178" s="5"/>
      <c r="P178" s="5"/>
      <c r="Q178" s="5"/>
    </row>
    <row r="179" spans="1:17" ht="14.45" thickBot="1">
      <c r="A179" s="14"/>
      <c r="B179" s="26"/>
      <c r="C179" s="5"/>
      <c r="D179" s="5"/>
      <c r="E179" s="4"/>
      <c r="F179" s="4"/>
      <c r="G179" s="4"/>
      <c r="H179" s="4"/>
      <c r="I179" s="4"/>
      <c r="J179" s="4"/>
      <c r="K179" s="5"/>
      <c r="L179" s="5"/>
      <c r="M179" s="5"/>
      <c r="N179" s="4"/>
      <c r="O179" s="5"/>
      <c r="P179" s="5"/>
      <c r="Q179" s="5"/>
    </row>
    <row r="180" spans="1:17">
      <c r="A180" s="12"/>
      <c r="B180" s="25"/>
      <c r="C180" s="3"/>
      <c r="D180" s="3"/>
      <c r="E180" s="2"/>
      <c r="F180" s="2"/>
      <c r="G180" s="2"/>
      <c r="H180" s="2"/>
      <c r="I180" s="2"/>
      <c r="J180" s="2"/>
      <c r="K180" s="3"/>
      <c r="L180" s="3"/>
      <c r="M180" s="3"/>
      <c r="N180" s="2"/>
      <c r="O180" s="3"/>
      <c r="P180" s="3"/>
      <c r="Q180" s="3"/>
    </row>
    <row r="181" spans="1:17">
      <c r="A181" s="14"/>
      <c r="B181" s="26"/>
      <c r="C181" s="5"/>
      <c r="D181" s="5"/>
      <c r="E181" s="4"/>
      <c r="F181" s="4"/>
      <c r="G181" s="4"/>
      <c r="H181" s="4"/>
      <c r="I181" s="4"/>
      <c r="J181" s="4"/>
      <c r="K181" s="5"/>
      <c r="L181" s="5"/>
      <c r="M181" s="5"/>
      <c r="N181" s="4"/>
      <c r="O181" s="5"/>
      <c r="P181" s="5"/>
      <c r="Q181" s="5"/>
    </row>
    <row r="182" spans="1:17">
      <c r="A182" s="14"/>
      <c r="B182" s="26"/>
      <c r="C182" s="5"/>
      <c r="D182" s="5"/>
      <c r="E182" s="4"/>
      <c r="F182" s="4"/>
      <c r="G182" s="4"/>
      <c r="H182" s="4"/>
      <c r="I182" s="4"/>
      <c r="J182" s="4"/>
      <c r="K182" s="5"/>
      <c r="L182" s="5"/>
      <c r="M182" s="5"/>
      <c r="N182" s="4"/>
      <c r="O182" s="5"/>
      <c r="P182" s="5"/>
      <c r="Q182" s="5"/>
    </row>
    <row r="183" spans="1:17">
      <c r="A183" s="14"/>
      <c r="B183" s="26"/>
      <c r="C183" s="5"/>
      <c r="D183" s="5"/>
      <c r="E183" s="4"/>
      <c r="F183" s="4"/>
      <c r="G183" s="4"/>
      <c r="H183" s="4"/>
      <c r="I183" s="4"/>
      <c r="J183" s="4"/>
      <c r="K183" s="5"/>
      <c r="L183" s="5"/>
      <c r="M183" s="5"/>
      <c r="N183" s="4"/>
      <c r="O183" s="5"/>
      <c r="P183" s="5"/>
      <c r="Q183" s="5"/>
    </row>
    <row r="184" spans="1:17">
      <c r="A184" s="14"/>
      <c r="B184" s="26"/>
      <c r="C184" s="5"/>
      <c r="D184" s="5"/>
      <c r="E184" s="4"/>
      <c r="F184" s="4"/>
      <c r="G184" s="4"/>
      <c r="H184" s="4"/>
      <c r="I184" s="4"/>
      <c r="J184" s="4"/>
      <c r="K184" s="5"/>
      <c r="L184" s="5"/>
      <c r="M184" s="5"/>
      <c r="N184" s="4"/>
      <c r="O184" s="5"/>
      <c r="P184" s="5"/>
      <c r="Q184" s="5"/>
    </row>
    <row r="185" spans="1:17">
      <c r="A185" s="14"/>
      <c r="B185" s="26"/>
      <c r="C185" s="5"/>
      <c r="D185" s="5"/>
      <c r="E185" s="4"/>
      <c r="F185" s="4"/>
      <c r="G185" s="4"/>
      <c r="H185" s="4"/>
      <c r="I185" s="4"/>
      <c r="J185" s="4"/>
      <c r="K185" s="5"/>
      <c r="L185" s="5"/>
      <c r="M185" s="5"/>
      <c r="N185" s="4"/>
      <c r="O185" s="5"/>
      <c r="P185" s="5"/>
      <c r="Q185" s="5"/>
    </row>
    <row r="186" spans="1:17">
      <c r="A186" s="14"/>
      <c r="B186" s="26"/>
      <c r="C186" s="5"/>
      <c r="D186" s="5"/>
      <c r="E186" s="4"/>
      <c r="F186" s="4"/>
      <c r="G186" s="4"/>
      <c r="H186" s="4"/>
      <c r="I186" s="4"/>
      <c r="J186" s="4"/>
      <c r="K186" s="5"/>
      <c r="L186" s="5"/>
      <c r="M186" s="5"/>
      <c r="N186" s="4"/>
      <c r="O186" s="5"/>
      <c r="P186" s="5"/>
      <c r="Q186" s="5"/>
    </row>
    <row r="187" spans="1:17">
      <c r="A187" s="14"/>
      <c r="B187" s="26"/>
      <c r="C187" s="5"/>
      <c r="D187" s="5"/>
      <c r="E187" s="4"/>
      <c r="F187" s="4"/>
      <c r="G187" s="4"/>
      <c r="H187" s="4"/>
      <c r="I187" s="4"/>
      <c r="J187" s="4"/>
      <c r="K187" s="5"/>
      <c r="L187" s="5"/>
      <c r="M187" s="5"/>
      <c r="N187" s="4"/>
      <c r="O187" s="5"/>
      <c r="P187" s="5"/>
      <c r="Q187" s="5"/>
    </row>
    <row r="188" spans="1:17">
      <c r="A188" s="14"/>
      <c r="B188" s="26"/>
      <c r="C188" s="5"/>
      <c r="D188" s="5"/>
      <c r="E188" s="4"/>
      <c r="F188" s="4"/>
      <c r="G188" s="4"/>
      <c r="H188" s="4"/>
      <c r="I188" s="4"/>
      <c r="J188" s="4"/>
      <c r="K188" s="5"/>
      <c r="L188" s="5"/>
      <c r="M188" s="5"/>
      <c r="N188" s="4"/>
      <c r="O188" s="5"/>
      <c r="P188" s="5"/>
      <c r="Q188" s="5"/>
    </row>
    <row r="189" spans="1:17" ht="14.45" thickBot="1">
      <c r="A189" s="14"/>
      <c r="B189" s="26"/>
      <c r="C189" s="5"/>
      <c r="D189" s="5"/>
      <c r="E189" s="4"/>
      <c r="F189" s="4"/>
      <c r="G189" s="4"/>
      <c r="H189" s="4"/>
      <c r="I189" s="4"/>
      <c r="J189" s="4"/>
      <c r="K189" s="5"/>
      <c r="L189" s="5"/>
      <c r="M189" s="5"/>
      <c r="N189" s="4"/>
      <c r="O189" s="5"/>
      <c r="P189" s="5"/>
      <c r="Q189" s="5"/>
    </row>
    <row r="190" spans="1:17">
      <c r="A190" s="12"/>
      <c r="B190" s="25"/>
      <c r="C190" s="3"/>
      <c r="D190" s="3"/>
      <c r="E190" s="2"/>
      <c r="F190" s="2"/>
      <c r="G190" s="2"/>
      <c r="H190" s="2"/>
      <c r="I190" s="2"/>
      <c r="J190" s="2"/>
      <c r="K190" s="3"/>
      <c r="L190" s="3"/>
      <c r="M190" s="3"/>
      <c r="N190" s="2"/>
      <c r="O190" s="3"/>
      <c r="P190" s="3"/>
      <c r="Q190" s="3"/>
    </row>
    <row r="191" spans="1:17">
      <c r="A191" s="14"/>
      <c r="B191" s="26"/>
      <c r="C191" s="5"/>
      <c r="D191" s="5"/>
      <c r="E191" s="4"/>
      <c r="F191" s="4"/>
      <c r="G191" s="4"/>
      <c r="H191" s="4"/>
      <c r="I191" s="4"/>
      <c r="J191" s="4"/>
      <c r="K191" s="5"/>
      <c r="L191" s="5"/>
      <c r="M191" s="5"/>
      <c r="N191" s="4"/>
      <c r="O191" s="5"/>
      <c r="P191" s="5"/>
      <c r="Q191" s="5"/>
    </row>
    <row r="192" spans="1:17">
      <c r="A192" s="14"/>
      <c r="B192" s="26"/>
      <c r="C192" s="5"/>
      <c r="D192" s="5"/>
      <c r="E192" s="4"/>
      <c r="F192" s="4"/>
      <c r="G192" s="4"/>
      <c r="H192" s="4"/>
      <c r="I192" s="4"/>
      <c r="J192" s="4"/>
      <c r="K192" s="5"/>
      <c r="L192" s="5"/>
      <c r="M192" s="5"/>
      <c r="N192" s="4"/>
      <c r="O192" s="5"/>
      <c r="P192" s="5"/>
      <c r="Q192" s="5"/>
    </row>
    <row r="193" spans="1:17" ht="14.45" thickBot="1">
      <c r="A193" s="14"/>
      <c r="B193" s="26"/>
      <c r="C193" s="5"/>
      <c r="D193" s="5"/>
      <c r="E193" s="4"/>
      <c r="F193" s="4"/>
      <c r="G193" s="4"/>
      <c r="H193" s="4"/>
      <c r="I193" s="4"/>
      <c r="J193" s="4"/>
      <c r="K193" s="5"/>
      <c r="L193" s="5"/>
      <c r="M193" s="5"/>
      <c r="N193" s="4"/>
      <c r="O193" s="5"/>
      <c r="P193" s="5"/>
      <c r="Q193" s="5"/>
    </row>
    <row r="194" spans="1:17">
      <c r="A194" s="12"/>
      <c r="B194" s="25"/>
      <c r="C194" s="3"/>
      <c r="D194" s="3"/>
      <c r="E194" s="2"/>
      <c r="F194" s="2"/>
      <c r="G194" s="2"/>
      <c r="H194" s="2"/>
      <c r="I194" s="2"/>
      <c r="J194" s="2"/>
      <c r="K194" s="3"/>
      <c r="L194" s="3"/>
      <c r="M194" s="3"/>
      <c r="N194" s="2"/>
      <c r="O194" s="3"/>
      <c r="P194" s="3"/>
      <c r="Q194" s="3"/>
    </row>
    <row r="195" spans="1:17">
      <c r="A195" s="14"/>
      <c r="B195" s="26"/>
      <c r="C195" s="5"/>
      <c r="D195" s="5"/>
      <c r="E195" s="4"/>
      <c r="F195" s="4"/>
      <c r="G195" s="4"/>
      <c r="H195" s="4"/>
      <c r="I195" s="4"/>
      <c r="J195" s="4"/>
      <c r="K195" s="5"/>
      <c r="L195" s="5"/>
      <c r="M195" s="5"/>
      <c r="N195" s="4"/>
      <c r="O195" s="5"/>
      <c r="P195" s="5"/>
      <c r="Q195" s="5"/>
    </row>
    <row r="196" spans="1:17">
      <c r="A196" s="14"/>
      <c r="B196" s="26"/>
      <c r="C196" s="5"/>
      <c r="D196" s="5"/>
      <c r="E196" s="4"/>
      <c r="F196" s="4"/>
      <c r="G196" s="4"/>
      <c r="H196" s="4"/>
      <c r="I196" s="4"/>
      <c r="J196" s="4"/>
      <c r="K196" s="5"/>
      <c r="L196" s="5"/>
      <c r="M196" s="5"/>
      <c r="N196" s="4"/>
      <c r="O196" s="5"/>
      <c r="P196" s="5"/>
      <c r="Q196" s="5"/>
    </row>
    <row r="197" spans="1:17">
      <c r="A197" s="14"/>
      <c r="B197" s="26"/>
      <c r="C197" s="5"/>
      <c r="D197" s="5"/>
      <c r="E197" s="4"/>
      <c r="F197" s="4"/>
      <c r="G197" s="4"/>
      <c r="H197" s="4"/>
      <c r="I197" s="4"/>
      <c r="J197" s="4"/>
      <c r="K197" s="5"/>
      <c r="L197" s="5"/>
      <c r="M197" s="5"/>
      <c r="N197" s="4"/>
      <c r="O197" s="5"/>
      <c r="P197" s="5"/>
      <c r="Q197" s="5"/>
    </row>
    <row r="198" spans="1:17">
      <c r="A198" s="14"/>
      <c r="B198" s="26"/>
      <c r="C198" s="5"/>
      <c r="D198" s="5"/>
      <c r="E198" s="4"/>
      <c r="F198" s="4"/>
      <c r="G198" s="4"/>
      <c r="H198" s="4"/>
      <c r="I198" s="4"/>
      <c r="J198" s="4"/>
      <c r="K198" s="5"/>
      <c r="L198" s="5"/>
      <c r="M198" s="5"/>
      <c r="N198" s="4"/>
      <c r="O198" s="5"/>
      <c r="P198" s="5"/>
      <c r="Q198" s="5"/>
    </row>
    <row r="199" spans="1:17" ht="14.45" thickBot="1">
      <c r="A199" s="14"/>
      <c r="B199" s="26"/>
      <c r="C199" s="5"/>
      <c r="D199" s="5"/>
      <c r="E199" s="4"/>
      <c r="F199" s="4"/>
      <c r="G199" s="4"/>
      <c r="H199" s="4"/>
      <c r="I199" s="4"/>
      <c r="J199" s="4"/>
      <c r="K199" s="5"/>
      <c r="L199" s="5"/>
      <c r="M199" s="5"/>
      <c r="N199" s="4"/>
      <c r="O199" s="5"/>
      <c r="P199" s="5"/>
      <c r="Q199" s="5"/>
    </row>
    <row r="200" spans="1:17">
      <c r="A200" s="12"/>
      <c r="B200" s="25"/>
      <c r="C200" s="3"/>
      <c r="D200" s="3"/>
      <c r="E200" s="2"/>
      <c r="F200" s="2"/>
      <c r="G200" s="2"/>
      <c r="H200" s="2"/>
      <c r="I200" s="2"/>
      <c r="J200" s="2"/>
      <c r="K200" s="3"/>
      <c r="L200" s="3"/>
      <c r="M200" s="3"/>
      <c r="N200" s="2"/>
      <c r="O200" s="3"/>
      <c r="P200" s="3"/>
      <c r="Q200" s="3"/>
    </row>
    <row r="201" spans="1:17">
      <c r="A201" s="14"/>
      <c r="B201" s="26"/>
      <c r="C201" s="5"/>
      <c r="D201" s="5"/>
      <c r="E201" s="4"/>
      <c r="F201" s="4"/>
      <c r="G201" s="4"/>
      <c r="H201" s="4"/>
      <c r="I201" s="4"/>
      <c r="J201" s="4"/>
      <c r="K201" s="5"/>
      <c r="L201" s="5"/>
      <c r="M201" s="5"/>
      <c r="N201" s="4"/>
      <c r="O201" s="5"/>
      <c r="P201" s="5"/>
      <c r="Q201" s="5"/>
    </row>
    <row r="202" spans="1:17">
      <c r="A202" s="14"/>
      <c r="B202" s="26"/>
      <c r="C202" s="5"/>
      <c r="D202" s="5"/>
      <c r="E202" s="4"/>
      <c r="F202" s="4"/>
      <c r="G202" s="4"/>
      <c r="H202" s="4"/>
      <c r="I202" s="4"/>
      <c r="J202" s="4"/>
      <c r="K202" s="5"/>
      <c r="L202" s="5"/>
      <c r="M202" s="5"/>
      <c r="N202" s="4"/>
      <c r="O202" s="5"/>
      <c r="P202" s="5"/>
      <c r="Q202" s="5"/>
    </row>
    <row r="203" spans="1:17">
      <c r="A203" s="14"/>
      <c r="B203" s="26"/>
      <c r="C203" s="5"/>
      <c r="D203" s="5"/>
      <c r="E203" s="4"/>
      <c r="F203" s="4"/>
      <c r="G203" s="4"/>
      <c r="H203" s="4"/>
      <c r="I203" s="4"/>
      <c r="J203" s="4"/>
      <c r="K203" s="5"/>
      <c r="L203" s="5"/>
      <c r="M203" s="5"/>
      <c r="N203" s="4"/>
      <c r="O203" s="5"/>
      <c r="P203" s="5"/>
      <c r="Q203" s="5"/>
    </row>
    <row r="204" spans="1:17">
      <c r="A204" s="14"/>
      <c r="B204" s="26"/>
      <c r="C204" s="5"/>
      <c r="D204" s="5"/>
      <c r="E204" s="4"/>
      <c r="F204" s="4"/>
      <c r="G204" s="4"/>
      <c r="H204" s="4"/>
      <c r="I204" s="4"/>
      <c r="J204" s="4"/>
      <c r="K204" s="5"/>
      <c r="L204" s="5"/>
      <c r="M204" s="5"/>
      <c r="N204" s="4"/>
      <c r="O204" s="5"/>
      <c r="P204" s="5"/>
      <c r="Q204" s="5"/>
    </row>
    <row r="205" spans="1:17">
      <c r="A205" s="14"/>
      <c r="B205" s="26"/>
      <c r="C205" s="5"/>
      <c r="D205" s="5"/>
      <c r="E205" s="4"/>
      <c r="F205" s="4"/>
      <c r="G205" s="4"/>
      <c r="H205" s="4"/>
      <c r="I205" s="4"/>
      <c r="J205" s="4"/>
      <c r="K205" s="5"/>
      <c r="L205" s="5"/>
      <c r="M205" s="5"/>
      <c r="N205" s="4"/>
      <c r="O205" s="5"/>
      <c r="P205" s="5"/>
      <c r="Q205" s="5"/>
    </row>
    <row r="206" spans="1:17">
      <c r="A206" s="14"/>
      <c r="B206" s="26"/>
      <c r="C206" s="5"/>
      <c r="D206" s="5"/>
      <c r="E206" s="4"/>
      <c r="F206" s="4"/>
      <c r="G206" s="4"/>
      <c r="H206" s="4"/>
      <c r="I206" s="4"/>
      <c r="J206" s="4"/>
      <c r="K206" s="5"/>
      <c r="L206" s="5"/>
      <c r="M206" s="5"/>
      <c r="N206" s="4"/>
      <c r="O206" s="5"/>
      <c r="P206" s="5"/>
      <c r="Q206" s="5"/>
    </row>
    <row r="207" spans="1:17">
      <c r="A207" s="14"/>
      <c r="B207" s="26"/>
      <c r="C207" s="5"/>
      <c r="D207" s="5"/>
      <c r="E207" s="4"/>
      <c r="F207" s="4"/>
      <c r="G207" s="4"/>
      <c r="H207" s="4"/>
      <c r="I207" s="4"/>
      <c r="J207" s="4"/>
      <c r="K207" s="5"/>
      <c r="L207" s="5"/>
      <c r="M207" s="5"/>
      <c r="N207" s="4"/>
      <c r="O207" s="5"/>
      <c r="P207" s="5"/>
      <c r="Q207" s="5"/>
    </row>
    <row r="208" spans="1:17">
      <c r="A208" s="14"/>
      <c r="B208" s="26"/>
      <c r="C208" s="5"/>
      <c r="D208" s="5"/>
      <c r="E208" s="4"/>
      <c r="F208" s="4"/>
      <c r="G208" s="4"/>
      <c r="H208" s="4"/>
      <c r="I208" s="4"/>
      <c r="J208" s="4"/>
      <c r="K208" s="5"/>
      <c r="L208" s="5"/>
      <c r="M208" s="5"/>
      <c r="N208" s="4"/>
      <c r="O208" s="5"/>
      <c r="P208" s="5"/>
      <c r="Q208" s="5"/>
    </row>
    <row r="209" spans="1:17" ht="14.45" thickBot="1">
      <c r="A209" s="14"/>
      <c r="B209" s="26"/>
      <c r="C209" s="5"/>
      <c r="D209" s="5"/>
      <c r="E209" s="4"/>
      <c r="F209" s="4"/>
      <c r="G209" s="4"/>
      <c r="H209" s="4"/>
      <c r="I209" s="4"/>
      <c r="J209" s="4"/>
      <c r="K209" s="5"/>
      <c r="L209" s="5"/>
      <c r="M209" s="5"/>
      <c r="N209" s="4"/>
      <c r="O209" s="5"/>
      <c r="P209" s="5"/>
      <c r="Q209" s="5"/>
    </row>
    <row r="210" spans="1:17">
      <c r="A210" s="12"/>
      <c r="B210" s="25"/>
      <c r="C210" s="3"/>
      <c r="D210" s="3"/>
      <c r="E210" s="2"/>
      <c r="F210" s="2"/>
      <c r="G210" s="2"/>
      <c r="H210" s="2"/>
      <c r="I210" s="2"/>
      <c r="J210" s="2"/>
      <c r="K210" s="3"/>
      <c r="L210" s="3"/>
      <c r="M210" s="3"/>
      <c r="N210" s="2"/>
      <c r="O210" s="3"/>
      <c r="P210" s="3"/>
      <c r="Q210" s="3"/>
    </row>
    <row r="211" spans="1:17">
      <c r="A211" s="14"/>
      <c r="B211" s="26"/>
      <c r="C211" s="5"/>
      <c r="D211" s="5"/>
      <c r="E211" s="4"/>
      <c r="F211" s="4"/>
      <c r="G211" s="4"/>
      <c r="H211" s="4"/>
      <c r="I211" s="4"/>
      <c r="J211" s="4"/>
      <c r="K211" s="5"/>
      <c r="L211" s="5"/>
      <c r="M211" s="5"/>
      <c r="N211" s="4"/>
      <c r="O211" s="5"/>
      <c r="P211" s="5"/>
      <c r="Q211" s="5"/>
    </row>
    <row r="212" spans="1:17">
      <c r="A212" s="14"/>
      <c r="B212" s="26"/>
      <c r="C212" s="5"/>
      <c r="D212" s="5"/>
      <c r="E212" s="4"/>
      <c r="F212" s="4"/>
      <c r="G212" s="4"/>
      <c r="H212" s="4"/>
      <c r="I212" s="4"/>
      <c r="J212" s="4"/>
      <c r="K212" s="5"/>
      <c r="L212" s="5"/>
      <c r="M212" s="5"/>
      <c r="N212" s="4"/>
      <c r="O212" s="5"/>
      <c r="P212" s="5"/>
      <c r="Q212" s="5"/>
    </row>
    <row r="213" spans="1:17" ht="14.45" thickBot="1">
      <c r="A213" s="14"/>
      <c r="B213" s="26"/>
      <c r="C213" s="5"/>
      <c r="D213" s="5"/>
      <c r="E213" s="4"/>
      <c r="F213" s="4"/>
      <c r="G213" s="4"/>
      <c r="H213" s="4"/>
      <c r="I213" s="4"/>
      <c r="J213" s="4"/>
      <c r="K213" s="5"/>
      <c r="L213" s="5"/>
      <c r="M213" s="5"/>
      <c r="N213" s="4"/>
      <c r="O213" s="5"/>
      <c r="P213" s="5"/>
      <c r="Q213" s="5"/>
    </row>
    <row r="214" spans="1:17">
      <c r="A214" s="12"/>
      <c r="B214" s="25"/>
      <c r="C214" s="3"/>
      <c r="D214" s="3"/>
      <c r="E214" s="2"/>
      <c r="F214" s="2"/>
      <c r="G214" s="2"/>
      <c r="H214" s="2"/>
      <c r="I214" s="2"/>
      <c r="J214" s="2"/>
      <c r="K214" s="3"/>
      <c r="L214" s="3"/>
      <c r="M214" s="3"/>
      <c r="N214" s="2"/>
      <c r="O214" s="3"/>
      <c r="P214" s="3"/>
      <c r="Q214" s="3"/>
    </row>
    <row r="215" spans="1:17">
      <c r="A215" s="14"/>
      <c r="B215" s="26"/>
      <c r="C215" s="5"/>
      <c r="D215" s="5"/>
      <c r="E215" s="4"/>
      <c r="F215" s="4"/>
      <c r="G215" s="4"/>
      <c r="H215" s="4"/>
      <c r="I215" s="4"/>
      <c r="J215" s="4"/>
      <c r="K215" s="5"/>
      <c r="L215" s="5"/>
      <c r="M215" s="5"/>
      <c r="N215" s="4"/>
      <c r="O215" s="5"/>
      <c r="P215" s="5"/>
      <c r="Q215" s="5"/>
    </row>
    <row r="216" spans="1:17">
      <c r="A216" s="14"/>
      <c r="B216" s="26"/>
      <c r="C216" s="5"/>
      <c r="D216" s="5"/>
      <c r="E216" s="4"/>
      <c r="F216" s="4"/>
      <c r="G216" s="4"/>
      <c r="H216" s="4"/>
      <c r="I216" s="4"/>
      <c r="J216" s="4"/>
      <c r="K216" s="5"/>
      <c r="L216" s="5"/>
      <c r="M216" s="5"/>
      <c r="N216" s="4"/>
      <c r="O216" s="5"/>
      <c r="P216" s="5"/>
      <c r="Q216" s="5"/>
    </row>
    <row r="217" spans="1:17">
      <c r="A217" s="14"/>
      <c r="B217" s="26"/>
      <c r="C217" s="5"/>
      <c r="D217" s="5"/>
      <c r="E217" s="4"/>
      <c r="F217" s="4"/>
      <c r="G217" s="4"/>
      <c r="H217" s="4"/>
      <c r="I217" s="4"/>
      <c r="J217" s="4"/>
      <c r="K217" s="5"/>
      <c r="L217" s="5"/>
      <c r="M217" s="5"/>
      <c r="N217" s="4"/>
      <c r="O217" s="5"/>
      <c r="P217" s="5"/>
      <c r="Q217" s="5"/>
    </row>
    <row r="218" spans="1:17">
      <c r="A218" s="14"/>
      <c r="B218" s="26"/>
      <c r="C218" s="5"/>
      <c r="D218" s="5"/>
      <c r="E218" s="4"/>
      <c r="F218" s="4"/>
      <c r="G218" s="4"/>
      <c r="H218" s="4"/>
      <c r="I218" s="4"/>
      <c r="J218" s="4"/>
      <c r="K218" s="5"/>
      <c r="L218" s="5"/>
      <c r="M218" s="5"/>
      <c r="N218" s="4"/>
      <c r="O218" s="5"/>
      <c r="P218" s="5"/>
      <c r="Q218" s="5"/>
    </row>
    <row r="219" spans="1:17" ht="14.45" thickBot="1">
      <c r="A219" s="14"/>
      <c r="B219" s="26"/>
      <c r="C219" s="5"/>
      <c r="D219" s="5"/>
      <c r="E219" s="4"/>
      <c r="F219" s="4"/>
      <c r="G219" s="4"/>
      <c r="H219" s="4"/>
      <c r="I219" s="4"/>
      <c r="J219" s="4"/>
      <c r="K219" s="5"/>
      <c r="L219" s="5"/>
      <c r="M219" s="5"/>
      <c r="N219" s="4"/>
      <c r="O219" s="5"/>
      <c r="P219" s="5"/>
      <c r="Q219" s="5"/>
    </row>
    <row r="220" spans="1:17">
      <c r="A220" s="12"/>
      <c r="B220" s="25"/>
      <c r="C220" s="3"/>
      <c r="D220" s="3"/>
      <c r="E220" s="2"/>
      <c r="F220" s="2"/>
      <c r="G220" s="2"/>
      <c r="H220" s="2"/>
      <c r="I220" s="2"/>
      <c r="J220" s="2"/>
      <c r="K220" s="3"/>
      <c r="L220" s="3"/>
      <c r="M220" s="3"/>
      <c r="N220" s="2"/>
      <c r="O220" s="3"/>
      <c r="P220" s="3"/>
      <c r="Q220" s="3"/>
    </row>
    <row r="221" spans="1:17">
      <c r="A221" s="14"/>
      <c r="B221" s="26"/>
      <c r="C221" s="5"/>
      <c r="D221" s="5"/>
      <c r="E221" s="4"/>
      <c r="F221" s="4"/>
      <c r="G221" s="4"/>
      <c r="H221" s="4"/>
      <c r="I221" s="4"/>
      <c r="J221" s="4"/>
      <c r="K221" s="5"/>
      <c r="L221" s="5"/>
      <c r="M221" s="5"/>
      <c r="N221" s="4"/>
      <c r="O221" s="5"/>
      <c r="P221" s="5"/>
      <c r="Q221" s="5"/>
    </row>
    <row r="222" spans="1:17">
      <c r="A222" s="14"/>
      <c r="B222" s="26"/>
      <c r="C222" s="5"/>
      <c r="D222" s="5"/>
      <c r="E222" s="4"/>
      <c r="F222" s="4"/>
      <c r="G222" s="4"/>
      <c r="H222" s="4"/>
      <c r="I222" s="4"/>
      <c r="J222" s="4"/>
      <c r="K222" s="5"/>
      <c r="L222" s="5"/>
      <c r="M222" s="5"/>
      <c r="N222" s="4"/>
      <c r="O222" s="5"/>
      <c r="P222" s="5"/>
      <c r="Q222" s="5"/>
    </row>
    <row r="223" spans="1:17">
      <c r="A223" s="14"/>
      <c r="B223" s="26"/>
      <c r="C223" s="5"/>
      <c r="D223" s="5"/>
      <c r="E223" s="4"/>
      <c r="F223" s="4"/>
      <c r="G223" s="4"/>
      <c r="H223" s="4"/>
      <c r="I223" s="4"/>
      <c r="J223" s="4"/>
      <c r="K223" s="5"/>
      <c r="L223" s="5"/>
      <c r="M223" s="5"/>
      <c r="N223" s="4"/>
      <c r="O223" s="5"/>
      <c r="P223" s="5"/>
      <c r="Q223" s="5"/>
    </row>
    <row r="224" spans="1:17">
      <c r="A224" s="14"/>
      <c r="B224" s="26"/>
      <c r="C224" s="5"/>
      <c r="D224" s="5"/>
      <c r="E224" s="4"/>
      <c r="F224" s="4"/>
      <c r="G224" s="4"/>
      <c r="H224" s="4"/>
      <c r="I224" s="4"/>
      <c r="J224" s="4"/>
      <c r="K224" s="5"/>
      <c r="L224" s="5"/>
      <c r="M224" s="5"/>
      <c r="N224" s="4"/>
      <c r="O224" s="5"/>
      <c r="P224" s="5"/>
      <c r="Q224" s="5"/>
    </row>
    <row r="225" spans="1:17">
      <c r="A225" s="14"/>
      <c r="B225" s="26"/>
      <c r="C225" s="5"/>
      <c r="D225" s="5"/>
      <c r="E225" s="4"/>
      <c r="F225" s="4"/>
      <c r="G225" s="4"/>
      <c r="H225" s="4"/>
      <c r="I225" s="4"/>
      <c r="J225" s="4"/>
      <c r="K225" s="5"/>
      <c r="L225" s="5"/>
      <c r="M225" s="5"/>
      <c r="N225" s="4"/>
      <c r="O225" s="5"/>
      <c r="P225" s="5"/>
      <c r="Q225" s="5"/>
    </row>
    <row r="226" spans="1:17">
      <c r="A226" s="14"/>
      <c r="B226" s="26"/>
      <c r="C226" s="5"/>
      <c r="D226" s="5"/>
      <c r="E226" s="4"/>
      <c r="F226" s="4"/>
      <c r="G226" s="4"/>
      <c r="H226" s="4"/>
      <c r="I226" s="4"/>
      <c r="J226" s="4"/>
      <c r="K226" s="5"/>
      <c r="L226" s="5"/>
      <c r="M226" s="5"/>
      <c r="N226" s="4"/>
      <c r="O226" s="5"/>
      <c r="P226" s="5"/>
      <c r="Q226" s="5"/>
    </row>
    <row r="227" spans="1:17">
      <c r="A227" s="14"/>
      <c r="B227" s="26"/>
      <c r="C227" s="5"/>
      <c r="D227" s="5"/>
      <c r="E227" s="4"/>
      <c r="F227" s="4"/>
      <c r="G227" s="4"/>
      <c r="H227" s="4"/>
      <c r="I227" s="4"/>
      <c r="J227" s="4"/>
      <c r="K227" s="5"/>
      <c r="L227" s="5"/>
      <c r="M227" s="5"/>
      <c r="N227" s="4"/>
      <c r="O227" s="5"/>
      <c r="P227" s="5"/>
      <c r="Q227" s="5"/>
    </row>
    <row r="228" spans="1:17">
      <c r="A228" s="14"/>
      <c r="B228" s="26"/>
      <c r="C228" s="5"/>
      <c r="D228" s="5"/>
      <c r="E228" s="4"/>
      <c r="F228" s="4"/>
      <c r="G228" s="4"/>
      <c r="H228" s="4"/>
      <c r="I228" s="4"/>
      <c r="J228" s="4"/>
      <c r="K228" s="5"/>
      <c r="L228" s="5"/>
      <c r="M228" s="5"/>
      <c r="N228" s="4"/>
      <c r="O228" s="5"/>
      <c r="P228" s="5"/>
      <c r="Q228" s="5"/>
    </row>
    <row r="229" spans="1:17" ht="14.45" thickBot="1">
      <c r="A229" s="14"/>
      <c r="B229" s="26"/>
      <c r="C229" s="5"/>
      <c r="D229" s="5"/>
      <c r="E229" s="4"/>
      <c r="F229" s="4"/>
      <c r="G229" s="4"/>
      <c r="H229" s="4"/>
      <c r="I229" s="4"/>
      <c r="J229" s="4"/>
      <c r="K229" s="5"/>
      <c r="L229" s="5"/>
      <c r="M229" s="5"/>
      <c r="N229" s="4"/>
      <c r="O229" s="5"/>
      <c r="P229" s="5"/>
      <c r="Q229" s="5"/>
    </row>
    <row r="230" spans="1:17" ht="14.45" thickBot="1">
      <c r="A230" s="12"/>
      <c r="B230" s="25"/>
      <c r="C230" s="3"/>
      <c r="D230" s="3"/>
      <c r="E230" s="2"/>
      <c r="F230" s="2"/>
      <c r="G230" s="2"/>
      <c r="H230" s="2"/>
      <c r="I230" s="2"/>
      <c r="J230" s="2"/>
      <c r="K230" s="3"/>
      <c r="L230" s="3"/>
      <c r="M230" s="3"/>
      <c r="N230" s="2"/>
      <c r="O230" s="3"/>
      <c r="P230" s="3"/>
      <c r="Q230" s="3"/>
    </row>
    <row r="231" spans="1:17">
      <c r="A231" s="12"/>
      <c r="B231" s="25"/>
      <c r="C231" s="3"/>
      <c r="D231" s="3"/>
      <c r="E231" s="2"/>
      <c r="F231" s="2"/>
      <c r="G231" s="2"/>
      <c r="H231" s="2"/>
      <c r="I231" s="2"/>
      <c r="J231" s="2"/>
      <c r="K231" s="3"/>
      <c r="L231" s="3"/>
      <c r="M231" s="3"/>
      <c r="N231" s="2"/>
      <c r="O231" s="3"/>
      <c r="P231" s="3"/>
      <c r="Q231" s="3"/>
    </row>
    <row r="232" spans="1:17">
      <c r="A232" s="14"/>
      <c r="B232" s="26"/>
      <c r="C232" s="5"/>
      <c r="D232" s="5"/>
      <c r="E232" s="4"/>
      <c r="F232" s="4"/>
      <c r="G232" s="4"/>
      <c r="H232" s="4"/>
      <c r="I232" s="4"/>
      <c r="J232" s="4"/>
      <c r="K232" s="5"/>
      <c r="L232" s="5"/>
      <c r="M232" s="5"/>
      <c r="N232" s="4"/>
      <c r="O232" s="5"/>
      <c r="P232" s="5"/>
      <c r="Q232" s="5"/>
    </row>
    <row r="233" spans="1:17">
      <c r="A233" s="14"/>
      <c r="B233" s="26"/>
      <c r="C233" s="5"/>
      <c r="D233" s="5"/>
      <c r="E233" s="4"/>
      <c r="F233" s="4"/>
      <c r="G233" s="4"/>
      <c r="H233" s="4"/>
      <c r="I233" s="4"/>
      <c r="J233" s="4"/>
      <c r="K233" s="5"/>
      <c r="L233" s="5"/>
      <c r="M233" s="5"/>
      <c r="N233" s="4"/>
      <c r="O233" s="5"/>
      <c r="P233" s="5"/>
      <c r="Q233" s="5"/>
    </row>
    <row r="234" spans="1:17">
      <c r="A234" s="14"/>
      <c r="B234" s="26"/>
      <c r="C234" s="5"/>
      <c r="D234" s="5"/>
      <c r="E234" s="4"/>
      <c r="F234" s="4"/>
      <c r="G234" s="4"/>
      <c r="H234" s="4"/>
      <c r="I234" s="4"/>
      <c r="J234" s="4"/>
      <c r="K234" s="5"/>
      <c r="L234" s="5"/>
      <c r="M234" s="5"/>
      <c r="N234" s="4"/>
      <c r="O234" s="5"/>
      <c r="P234" s="5"/>
      <c r="Q234" s="5"/>
    </row>
    <row r="235" spans="1:17">
      <c r="A235" s="14"/>
      <c r="B235" s="26"/>
      <c r="C235" s="5"/>
      <c r="D235" s="5"/>
      <c r="E235" s="4"/>
      <c r="F235" s="4"/>
      <c r="G235" s="4"/>
      <c r="H235" s="4"/>
      <c r="I235" s="4"/>
      <c r="J235" s="4"/>
      <c r="K235" s="5"/>
      <c r="L235" s="5"/>
      <c r="M235" s="5"/>
      <c r="N235" s="4"/>
      <c r="O235" s="5"/>
      <c r="P235" s="5"/>
      <c r="Q235" s="5"/>
    </row>
    <row r="236" spans="1:17">
      <c r="A236" s="14"/>
      <c r="B236" s="26"/>
      <c r="C236" s="5"/>
      <c r="D236" s="5"/>
      <c r="E236" s="4"/>
      <c r="F236" s="4"/>
      <c r="G236" s="4"/>
      <c r="H236" s="4"/>
      <c r="I236" s="4"/>
      <c r="J236" s="4"/>
      <c r="K236" s="5"/>
      <c r="L236" s="5"/>
      <c r="M236" s="5"/>
      <c r="N236" s="4"/>
      <c r="O236" s="5"/>
      <c r="P236" s="5"/>
      <c r="Q236" s="5"/>
    </row>
    <row r="237" spans="1:17">
      <c r="A237" s="14"/>
      <c r="B237" s="26"/>
      <c r="C237" s="5"/>
      <c r="D237" s="5"/>
      <c r="E237" s="4"/>
      <c r="F237" s="4"/>
      <c r="G237" s="4"/>
      <c r="H237" s="4"/>
      <c r="I237" s="4"/>
      <c r="J237" s="4"/>
      <c r="K237" s="5"/>
      <c r="L237" s="5"/>
      <c r="M237" s="5"/>
      <c r="N237" s="4"/>
      <c r="O237" s="5"/>
      <c r="P237" s="5"/>
      <c r="Q237" s="5"/>
    </row>
    <row r="238" spans="1:17">
      <c r="A238" s="14"/>
      <c r="B238" s="26"/>
      <c r="C238" s="5"/>
      <c r="D238" s="5"/>
      <c r="E238" s="4"/>
      <c r="F238" s="4"/>
      <c r="G238" s="4"/>
      <c r="H238" s="4"/>
      <c r="I238" s="4"/>
      <c r="J238" s="4"/>
      <c r="K238" s="5"/>
      <c r="L238" s="5"/>
      <c r="M238" s="5"/>
      <c r="N238" s="4"/>
      <c r="O238" s="5"/>
      <c r="P238" s="5"/>
      <c r="Q238" s="5"/>
    </row>
    <row r="239" spans="1:17" ht="14.45" thickBot="1">
      <c r="A239" s="14"/>
      <c r="B239" s="26"/>
      <c r="C239" s="5"/>
      <c r="D239" s="5"/>
      <c r="E239" s="4"/>
      <c r="F239" s="4"/>
      <c r="G239" s="4"/>
      <c r="H239" s="4"/>
      <c r="I239" s="4"/>
      <c r="J239" s="4"/>
      <c r="K239" s="5"/>
      <c r="L239" s="5"/>
      <c r="M239" s="5"/>
      <c r="N239" s="4"/>
      <c r="O239" s="5"/>
      <c r="P239" s="5"/>
      <c r="Q239" s="5"/>
    </row>
    <row r="240" spans="1:17">
      <c r="A240" s="12"/>
      <c r="B240" s="25"/>
      <c r="C240" s="3"/>
      <c r="D240" s="3"/>
      <c r="E240" s="2"/>
      <c r="F240" s="2"/>
      <c r="G240" s="2"/>
      <c r="H240" s="2"/>
      <c r="I240" s="2"/>
      <c r="J240" s="2"/>
      <c r="K240" s="3"/>
      <c r="L240" s="3"/>
      <c r="M240" s="3"/>
      <c r="N240" s="2"/>
      <c r="O240" s="3"/>
      <c r="P240" s="3"/>
      <c r="Q240" s="3"/>
    </row>
    <row r="241" spans="1:17">
      <c r="A241" s="14"/>
      <c r="B241" s="26"/>
      <c r="C241" s="5"/>
      <c r="D241" s="5"/>
      <c r="E241" s="4"/>
      <c r="F241" s="4"/>
      <c r="G241" s="4"/>
      <c r="H241" s="4"/>
      <c r="I241" s="4"/>
      <c r="J241" s="4"/>
      <c r="K241" s="5"/>
      <c r="L241" s="5"/>
      <c r="M241" s="5"/>
      <c r="N241" s="4"/>
      <c r="O241" s="5"/>
      <c r="P241" s="5"/>
      <c r="Q241" s="5"/>
    </row>
    <row r="242" spans="1:17">
      <c r="A242" s="14"/>
      <c r="B242" s="26"/>
      <c r="C242" s="5"/>
      <c r="D242" s="5"/>
      <c r="E242" s="4"/>
      <c r="F242" s="4"/>
      <c r="G242" s="4"/>
      <c r="H242" s="4"/>
      <c r="I242" s="4"/>
      <c r="J242" s="4"/>
      <c r="K242" s="5"/>
      <c r="L242" s="5"/>
      <c r="M242" s="5"/>
      <c r="N242" s="4"/>
      <c r="O242" s="5"/>
      <c r="P242" s="5"/>
      <c r="Q242" s="5"/>
    </row>
    <row r="243" spans="1:17" ht="14.45" thickBot="1">
      <c r="A243" s="14"/>
      <c r="B243" s="26"/>
      <c r="C243" s="5"/>
      <c r="D243" s="5"/>
      <c r="E243" s="4"/>
      <c r="F243" s="4"/>
      <c r="G243" s="4"/>
      <c r="H243" s="4"/>
      <c r="I243" s="4"/>
      <c r="J243" s="4"/>
      <c r="K243" s="5"/>
      <c r="L243" s="5"/>
      <c r="M243" s="5"/>
      <c r="N243" s="4"/>
      <c r="O243" s="5"/>
      <c r="P243" s="5"/>
      <c r="Q243" s="5"/>
    </row>
    <row r="244" spans="1:17">
      <c r="A244" s="12"/>
      <c r="B244" s="27"/>
      <c r="C244" s="3"/>
      <c r="D244" s="3"/>
      <c r="E244" s="2"/>
      <c r="F244" s="2"/>
      <c r="G244" s="2"/>
      <c r="H244" s="2"/>
      <c r="I244" s="2"/>
      <c r="J244" s="2"/>
      <c r="K244" s="3"/>
      <c r="L244" s="3"/>
      <c r="M244" s="3"/>
      <c r="N244" s="2"/>
      <c r="O244" s="3"/>
      <c r="P244" s="3"/>
      <c r="Q244" s="3"/>
    </row>
    <row r="245" spans="1:17">
      <c r="A245" s="14"/>
      <c r="B245" s="28"/>
      <c r="C245" s="5"/>
      <c r="D245" s="5"/>
      <c r="E245" s="4"/>
      <c r="F245" s="4"/>
      <c r="G245" s="4"/>
      <c r="H245" s="4"/>
      <c r="I245" s="4"/>
      <c r="J245" s="4"/>
      <c r="K245" s="5"/>
      <c r="L245" s="5"/>
      <c r="M245" s="5"/>
      <c r="N245" s="4"/>
      <c r="O245" s="5"/>
      <c r="P245" s="5"/>
      <c r="Q245" s="5"/>
    </row>
    <row r="246" spans="1:17">
      <c r="A246" s="14"/>
      <c r="B246" s="28"/>
      <c r="C246" s="5"/>
      <c r="D246" s="5"/>
      <c r="E246" s="4"/>
      <c r="F246" s="4"/>
      <c r="G246" s="4"/>
      <c r="H246" s="4"/>
      <c r="I246" s="4"/>
      <c r="J246" s="4"/>
      <c r="K246" s="5"/>
      <c r="L246" s="5"/>
      <c r="M246" s="5"/>
      <c r="N246" s="4"/>
      <c r="O246" s="5"/>
      <c r="P246" s="5"/>
      <c r="Q246" s="5"/>
    </row>
    <row r="247" spans="1:17">
      <c r="A247" s="14"/>
      <c r="B247" s="28"/>
      <c r="C247" s="5"/>
      <c r="D247" s="5"/>
      <c r="E247" s="4"/>
      <c r="F247" s="4"/>
      <c r="G247" s="4"/>
      <c r="H247" s="4"/>
      <c r="I247" s="4"/>
      <c r="J247" s="4"/>
      <c r="K247" s="5"/>
      <c r="L247" s="5"/>
      <c r="M247" s="5"/>
      <c r="N247" s="4"/>
      <c r="O247" s="5"/>
      <c r="P247" s="5"/>
      <c r="Q247" s="5"/>
    </row>
    <row r="248" spans="1:17">
      <c r="A248" s="14"/>
      <c r="B248" s="28"/>
      <c r="C248" s="5"/>
      <c r="D248" s="5"/>
      <c r="E248" s="4"/>
      <c r="F248" s="4"/>
      <c r="G248" s="4"/>
      <c r="H248" s="4"/>
      <c r="I248" s="4"/>
      <c r="J248" s="4"/>
      <c r="K248" s="5"/>
      <c r="L248" s="5"/>
      <c r="M248" s="5"/>
      <c r="N248" s="4"/>
      <c r="O248" s="5"/>
      <c r="P248" s="5"/>
      <c r="Q248" s="5"/>
    </row>
    <row r="249" spans="1:17" ht="14.45" thickBot="1">
      <c r="A249" s="14"/>
      <c r="B249" s="28"/>
      <c r="C249" s="5"/>
      <c r="D249" s="5"/>
      <c r="E249" s="4"/>
      <c r="F249" s="4"/>
      <c r="G249" s="4"/>
      <c r="H249" s="4"/>
      <c r="I249" s="4"/>
      <c r="J249" s="4"/>
      <c r="K249" s="5"/>
      <c r="L249" s="5"/>
      <c r="M249" s="5"/>
      <c r="N249" s="4"/>
      <c r="O249" s="5"/>
      <c r="P249" s="5"/>
      <c r="Q249" s="5"/>
    </row>
    <row r="250" spans="1:17">
      <c r="A250" s="12"/>
      <c r="B250" s="27"/>
      <c r="C250" s="3"/>
      <c r="D250" s="3"/>
      <c r="E250" s="2"/>
      <c r="F250" s="2"/>
      <c r="G250" s="2"/>
      <c r="H250" s="2"/>
      <c r="I250" s="2"/>
      <c r="J250" s="2"/>
      <c r="K250" s="3"/>
      <c r="L250" s="3"/>
      <c r="M250" s="3"/>
      <c r="N250" s="2"/>
      <c r="O250" s="3"/>
      <c r="P250" s="3"/>
      <c r="Q250" s="3"/>
    </row>
    <row r="251" spans="1:17">
      <c r="A251" s="14"/>
      <c r="B251" s="28"/>
      <c r="C251" s="5"/>
      <c r="D251" s="5"/>
      <c r="E251" s="4"/>
      <c r="F251" s="4"/>
      <c r="G251" s="4"/>
      <c r="H251" s="4"/>
      <c r="I251" s="4"/>
      <c r="J251" s="4"/>
      <c r="K251" s="5"/>
      <c r="L251" s="5"/>
      <c r="M251" s="5"/>
      <c r="N251" s="4"/>
      <c r="O251" s="5"/>
      <c r="P251" s="5"/>
      <c r="Q251" s="5"/>
    </row>
    <row r="252" spans="1:17">
      <c r="A252" s="14"/>
      <c r="B252" s="28"/>
      <c r="C252" s="5"/>
      <c r="D252" s="5"/>
      <c r="E252" s="4"/>
      <c r="F252" s="4"/>
      <c r="G252" s="4"/>
      <c r="H252" s="4"/>
      <c r="I252" s="4"/>
      <c r="J252" s="4"/>
      <c r="K252" s="5"/>
      <c r="L252" s="5"/>
      <c r="M252" s="5"/>
      <c r="N252" s="4"/>
      <c r="O252" s="5"/>
      <c r="P252" s="5"/>
      <c r="Q252" s="5"/>
    </row>
    <row r="253" spans="1:17">
      <c r="A253" s="14"/>
      <c r="B253" s="28"/>
      <c r="C253" s="5"/>
      <c r="D253" s="5"/>
      <c r="E253" s="4"/>
      <c r="F253" s="4"/>
      <c r="G253" s="4"/>
      <c r="H253" s="4"/>
      <c r="I253" s="4"/>
      <c r="J253" s="4"/>
      <c r="K253" s="5"/>
      <c r="L253" s="5"/>
      <c r="M253" s="5"/>
      <c r="N253" s="4"/>
      <c r="O253" s="5"/>
      <c r="P253" s="5"/>
      <c r="Q253" s="5"/>
    </row>
    <row r="254" spans="1:17">
      <c r="A254" s="14"/>
      <c r="B254" s="28"/>
      <c r="C254" s="5"/>
      <c r="D254" s="5"/>
      <c r="E254" s="4"/>
      <c r="F254" s="4"/>
      <c r="G254" s="4"/>
      <c r="H254" s="4"/>
      <c r="I254" s="4"/>
      <c r="J254" s="4"/>
      <c r="K254" s="5"/>
      <c r="L254" s="5"/>
      <c r="M254" s="5"/>
      <c r="N254" s="4"/>
      <c r="O254" s="5"/>
      <c r="P254" s="5"/>
      <c r="Q254" s="5"/>
    </row>
    <row r="255" spans="1:17">
      <c r="A255" s="14"/>
      <c r="B255" s="28"/>
      <c r="C255" s="5"/>
      <c r="D255" s="5"/>
      <c r="E255" s="4"/>
      <c r="F255" s="4"/>
      <c r="G255" s="4"/>
      <c r="H255" s="4"/>
      <c r="I255" s="4"/>
      <c r="J255" s="4"/>
      <c r="K255" s="5"/>
      <c r="L255" s="5"/>
      <c r="M255" s="5"/>
      <c r="N255" s="4"/>
      <c r="O255" s="5"/>
      <c r="P255" s="5"/>
      <c r="Q255" s="5"/>
    </row>
    <row r="256" spans="1:17">
      <c r="A256" s="14"/>
      <c r="B256" s="28"/>
      <c r="C256" s="5"/>
      <c r="D256" s="5"/>
      <c r="E256" s="4"/>
      <c r="F256" s="4"/>
      <c r="G256" s="4"/>
      <c r="H256" s="4"/>
      <c r="I256" s="4"/>
      <c r="J256" s="4"/>
      <c r="K256" s="5"/>
      <c r="L256" s="5"/>
      <c r="M256" s="5"/>
      <c r="N256" s="4"/>
      <c r="O256" s="5"/>
      <c r="P256" s="5"/>
      <c r="Q256" s="5"/>
    </row>
    <row r="257" spans="1:17" ht="14.45" thickBot="1">
      <c r="A257" s="14"/>
      <c r="B257" s="28"/>
      <c r="C257" s="5"/>
      <c r="D257" s="5"/>
      <c r="E257" s="4"/>
      <c r="F257" s="4"/>
      <c r="G257" s="4"/>
      <c r="H257" s="4"/>
      <c r="I257" s="4"/>
      <c r="J257" s="4"/>
      <c r="K257" s="5"/>
      <c r="L257" s="5"/>
      <c r="M257" s="5"/>
      <c r="N257" s="4"/>
      <c r="O257" s="5"/>
      <c r="P257" s="5"/>
      <c r="Q257" s="5"/>
    </row>
    <row r="258" spans="1:17">
      <c r="A258" s="12"/>
      <c r="B258" s="27"/>
      <c r="C258" s="3"/>
      <c r="D258" s="3"/>
      <c r="E258" s="2"/>
      <c r="F258" s="2"/>
      <c r="G258" s="2"/>
      <c r="H258" s="2"/>
      <c r="I258" s="2"/>
      <c r="J258" s="2"/>
      <c r="K258" s="3"/>
      <c r="L258" s="3"/>
      <c r="M258" s="3"/>
      <c r="N258" s="2"/>
      <c r="O258" s="3"/>
      <c r="P258" s="3"/>
      <c r="Q258" s="3"/>
    </row>
    <row r="259" spans="1:17" ht="14.45" thickBot="1">
      <c r="A259" s="14"/>
      <c r="B259" s="28"/>
      <c r="C259" s="5"/>
      <c r="D259" s="5"/>
      <c r="E259" s="4"/>
      <c r="F259" s="4"/>
      <c r="G259" s="4"/>
      <c r="H259" s="4"/>
      <c r="I259" s="4"/>
      <c r="J259" s="4"/>
      <c r="K259" s="5"/>
      <c r="L259" s="5"/>
      <c r="M259" s="5"/>
      <c r="N259" s="4"/>
      <c r="O259" s="5"/>
      <c r="P259" s="5"/>
      <c r="Q259" s="5"/>
    </row>
    <row r="260" spans="1:17">
      <c r="A260" s="12"/>
      <c r="B260" s="27"/>
      <c r="C260" s="3"/>
      <c r="D260" s="3"/>
      <c r="E260" s="2"/>
      <c r="F260" s="2"/>
      <c r="G260" s="2"/>
      <c r="H260" s="2"/>
      <c r="I260" s="2"/>
      <c r="J260" s="2"/>
      <c r="K260" s="3"/>
      <c r="L260" s="3"/>
      <c r="M260" s="3"/>
      <c r="N260" s="2"/>
      <c r="O260" s="3"/>
      <c r="P260" s="3"/>
      <c r="Q260" s="3"/>
    </row>
    <row r="261" spans="1:17">
      <c r="A261" s="14"/>
      <c r="B261" s="28"/>
      <c r="C261" s="5"/>
      <c r="D261" s="5"/>
      <c r="E261" s="4"/>
      <c r="F261" s="4"/>
      <c r="G261" s="4"/>
      <c r="H261" s="4"/>
      <c r="I261" s="4"/>
      <c r="J261" s="4"/>
      <c r="K261" s="5"/>
      <c r="L261" s="5"/>
      <c r="M261" s="5"/>
      <c r="N261" s="4"/>
      <c r="O261" s="5"/>
      <c r="P261" s="5"/>
      <c r="Q261" s="5"/>
    </row>
    <row r="262" spans="1:17">
      <c r="A262" s="14"/>
      <c r="B262" s="28"/>
      <c r="C262" s="5"/>
      <c r="D262" s="5"/>
      <c r="E262" s="4"/>
      <c r="F262" s="4"/>
      <c r="G262" s="4"/>
      <c r="H262" s="4"/>
      <c r="I262" s="4"/>
      <c r="J262" s="4"/>
      <c r="K262" s="5"/>
      <c r="L262" s="5"/>
      <c r="M262" s="5"/>
      <c r="N262" s="4"/>
      <c r="O262" s="5"/>
      <c r="P262" s="5"/>
      <c r="Q262" s="5"/>
    </row>
    <row r="263" spans="1:17">
      <c r="A263" s="14"/>
      <c r="B263" s="28"/>
      <c r="C263" s="5"/>
      <c r="D263" s="5"/>
      <c r="E263" s="4"/>
      <c r="F263" s="4"/>
      <c r="G263" s="4"/>
      <c r="H263" s="4"/>
      <c r="I263" s="4"/>
      <c r="J263" s="4"/>
      <c r="K263" s="5"/>
      <c r="L263" s="5"/>
      <c r="M263" s="5"/>
      <c r="N263" s="4"/>
      <c r="O263" s="5"/>
      <c r="P263" s="5"/>
      <c r="Q263" s="5"/>
    </row>
    <row r="264" spans="1:17">
      <c r="A264" s="14"/>
      <c r="B264" s="28"/>
      <c r="C264" s="5"/>
      <c r="D264" s="5"/>
      <c r="E264" s="4"/>
      <c r="F264" s="4"/>
      <c r="G264" s="4"/>
      <c r="H264" s="4"/>
      <c r="I264" s="4"/>
      <c r="J264" s="4"/>
      <c r="K264" s="5"/>
      <c r="L264" s="5"/>
      <c r="M264" s="5"/>
      <c r="N264" s="4"/>
      <c r="O264" s="5"/>
      <c r="P264" s="5"/>
      <c r="Q264" s="5"/>
    </row>
    <row r="265" spans="1:17">
      <c r="A265" s="14"/>
      <c r="B265" s="28"/>
      <c r="C265" s="5"/>
      <c r="D265" s="5"/>
      <c r="E265" s="4"/>
      <c r="F265" s="4"/>
      <c r="G265" s="4"/>
      <c r="H265" s="4"/>
      <c r="I265" s="4"/>
      <c r="J265" s="4"/>
      <c r="K265" s="5"/>
      <c r="L265" s="5"/>
      <c r="M265" s="5"/>
      <c r="N265" s="4"/>
      <c r="O265" s="5"/>
      <c r="P265" s="5"/>
      <c r="Q265" s="5"/>
    </row>
    <row r="266" spans="1:17">
      <c r="A266" s="14"/>
      <c r="B266" s="28"/>
      <c r="C266" s="5"/>
      <c r="D266" s="5"/>
      <c r="E266" s="4"/>
      <c r="F266" s="4"/>
      <c r="G266" s="4"/>
      <c r="H266" s="4"/>
      <c r="I266" s="4"/>
      <c r="J266" s="4"/>
      <c r="K266" s="5"/>
      <c r="L266" s="5"/>
      <c r="M266" s="5"/>
      <c r="N266" s="4"/>
      <c r="O266" s="5"/>
      <c r="P266" s="5"/>
      <c r="Q266" s="5"/>
    </row>
    <row r="267" spans="1:17">
      <c r="A267" s="14"/>
      <c r="B267" s="28"/>
      <c r="C267" s="5"/>
      <c r="D267" s="5"/>
      <c r="E267" s="4"/>
      <c r="F267" s="4"/>
      <c r="G267" s="4"/>
      <c r="H267" s="4"/>
      <c r="I267" s="4"/>
      <c r="J267" s="4"/>
      <c r="K267" s="5"/>
      <c r="L267" s="5"/>
      <c r="M267" s="5"/>
      <c r="N267" s="4"/>
      <c r="O267" s="5"/>
      <c r="P267" s="5"/>
      <c r="Q267" s="5"/>
    </row>
    <row r="268" spans="1:17">
      <c r="A268" s="14"/>
      <c r="B268" s="28"/>
      <c r="C268" s="5"/>
      <c r="D268" s="5"/>
      <c r="E268" s="4"/>
      <c r="F268" s="4"/>
      <c r="G268" s="4"/>
      <c r="H268" s="4"/>
      <c r="I268" s="4"/>
      <c r="J268" s="4"/>
      <c r="K268" s="5"/>
      <c r="L268" s="5"/>
      <c r="M268" s="5"/>
      <c r="N268" s="4"/>
      <c r="O268" s="5"/>
      <c r="P268" s="5"/>
      <c r="Q268" s="5"/>
    </row>
    <row r="269" spans="1:17" ht="14.45" thickBot="1">
      <c r="A269" s="14"/>
      <c r="B269" s="28"/>
      <c r="C269" s="5"/>
      <c r="D269" s="5"/>
      <c r="E269" s="4"/>
      <c r="F269" s="4"/>
      <c r="G269" s="4"/>
      <c r="H269" s="4"/>
      <c r="I269" s="4"/>
      <c r="J269" s="4"/>
      <c r="K269" s="5"/>
      <c r="L269" s="5"/>
      <c r="M269" s="5"/>
      <c r="N269" s="4"/>
      <c r="O269" s="5"/>
      <c r="P269" s="5"/>
      <c r="Q269" s="5"/>
    </row>
    <row r="270" spans="1:17" ht="14.45" thickBot="1">
      <c r="A270" s="12"/>
      <c r="B270" s="27"/>
      <c r="C270" s="3"/>
      <c r="D270" s="3"/>
      <c r="E270" s="2"/>
      <c r="F270" s="2"/>
      <c r="G270" s="2"/>
      <c r="H270" s="2"/>
      <c r="I270" s="2"/>
      <c r="J270" s="2"/>
      <c r="K270" s="3"/>
      <c r="L270" s="3"/>
      <c r="M270" s="3"/>
      <c r="N270" s="2"/>
      <c r="O270" s="3"/>
      <c r="P270" s="3"/>
      <c r="Q270" s="3"/>
    </row>
    <row r="271" spans="1:17">
      <c r="A271" s="12"/>
      <c r="B271" s="27"/>
      <c r="C271" s="3"/>
      <c r="D271" s="3"/>
      <c r="E271" s="2"/>
      <c r="F271" s="2"/>
      <c r="G271" s="2"/>
      <c r="H271" s="2"/>
      <c r="I271" s="2"/>
      <c r="J271" s="2"/>
      <c r="K271" s="3"/>
      <c r="L271" s="3"/>
      <c r="M271" s="3"/>
      <c r="N271" s="2"/>
      <c r="O271" s="3"/>
      <c r="P271" s="3"/>
      <c r="Q271" s="3"/>
    </row>
    <row r="272" spans="1:17">
      <c r="A272" s="14"/>
      <c r="B272" s="28"/>
      <c r="C272" s="5"/>
      <c r="D272" s="5"/>
      <c r="E272" s="4"/>
      <c r="F272" s="4"/>
      <c r="G272" s="4"/>
      <c r="H272" s="4"/>
      <c r="I272" s="4"/>
      <c r="J272" s="4"/>
      <c r="K272" s="5"/>
      <c r="L272" s="5"/>
      <c r="M272" s="5"/>
      <c r="N272" s="4"/>
      <c r="O272" s="5"/>
      <c r="P272" s="5"/>
      <c r="Q272" s="5"/>
    </row>
    <row r="273" spans="1:17">
      <c r="A273" s="14"/>
      <c r="B273" s="28"/>
      <c r="C273" s="5"/>
      <c r="D273" s="5"/>
      <c r="E273" s="4"/>
      <c r="F273" s="4"/>
      <c r="G273" s="4"/>
      <c r="H273" s="4"/>
      <c r="I273" s="4"/>
      <c r="J273" s="4"/>
      <c r="K273" s="5"/>
      <c r="L273" s="5"/>
      <c r="M273" s="5"/>
      <c r="N273" s="4"/>
      <c r="O273" s="5"/>
      <c r="P273" s="5"/>
      <c r="Q273" s="5"/>
    </row>
    <row r="274" spans="1:17">
      <c r="A274" s="14"/>
      <c r="B274" s="28"/>
      <c r="C274" s="5"/>
      <c r="D274" s="5"/>
      <c r="E274" s="4"/>
      <c r="F274" s="4"/>
      <c r="G274" s="4"/>
      <c r="H274" s="4"/>
      <c r="I274" s="4"/>
      <c r="J274" s="4"/>
      <c r="K274" s="5"/>
      <c r="L274" s="5"/>
      <c r="M274" s="5"/>
      <c r="N274" s="4"/>
      <c r="O274" s="5"/>
      <c r="P274" s="5"/>
      <c r="Q274" s="5"/>
    </row>
    <row r="275" spans="1:17">
      <c r="A275" s="14"/>
      <c r="B275" s="28"/>
      <c r="C275" s="5"/>
      <c r="D275" s="5"/>
      <c r="E275" s="4"/>
      <c r="F275" s="4"/>
      <c r="G275" s="4"/>
      <c r="H275" s="4"/>
      <c r="I275" s="4"/>
      <c r="J275" s="4"/>
      <c r="K275" s="5"/>
      <c r="L275" s="5"/>
      <c r="M275" s="5"/>
      <c r="N275" s="4"/>
      <c r="O275" s="5"/>
      <c r="P275" s="5"/>
      <c r="Q275" s="5"/>
    </row>
    <row r="276" spans="1:17">
      <c r="A276" s="14"/>
      <c r="B276" s="28"/>
      <c r="C276" s="5"/>
      <c r="D276" s="5"/>
      <c r="E276" s="4"/>
      <c r="F276" s="4"/>
      <c r="G276" s="4"/>
      <c r="H276" s="4"/>
      <c r="I276" s="4"/>
      <c r="J276" s="4"/>
      <c r="K276" s="5"/>
      <c r="L276" s="5"/>
      <c r="M276" s="5"/>
      <c r="N276" s="4"/>
      <c r="O276" s="5"/>
      <c r="P276" s="5"/>
      <c r="Q276" s="5"/>
    </row>
    <row r="277" spans="1:17">
      <c r="A277" s="14"/>
      <c r="B277" s="28"/>
      <c r="C277" s="5"/>
      <c r="D277" s="5"/>
      <c r="E277" s="4"/>
      <c r="F277" s="4"/>
      <c r="G277" s="4"/>
      <c r="H277" s="4"/>
      <c r="I277" s="4"/>
      <c r="J277" s="4"/>
      <c r="K277" s="5"/>
      <c r="L277" s="5"/>
      <c r="M277" s="5"/>
      <c r="N277" s="4"/>
      <c r="O277" s="5"/>
      <c r="P277" s="5"/>
      <c r="Q277" s="5"/>
    </row>
    <row r="278" spans="1:17">
      <c r="A278" s="14"/>
      <c r="B278" s="28"/>
      <c r="C278" s="5"/>
      <c r="D278" s="5"/>
      <c r="E278" s="4"/>
      <c r="F278" s="4"/>
      <c r="G278" s="4"/>
      <c r="H278" s="4"/>
      <c r="I278" s="4"/>
      <c r="J278" s="4"/>
      <c r="K278" s="5"/>
      <c r="L278" s="5"/>
      <c r="M278" s="5"/>
      <c r="N278" s="4"/>
      <c r="O278" s="5"/>
      <c r="P278" s="5"/>
      <c r="Q278" s="5"/>
    </row>
    <row r="279" spans="1:17" ht="14.45" thickBot="1">
      <c r="A279" s="14"/>
      <c r="B279" s="28"/>
      <c r="C279" s="5"/>
      <c r="D279" s="5"/>
      <c r="E279" s="4"/>
      <c r="F279" s="4"/>
      <c r="G279" s="4"/>
      <c r="H279" s="4"/>
      <c r="I279" s="4"/>
      <c r="J279" s="4"/>
      <c r="K279" s="5"/>
      <c r="L279" s="5"/>
      <c r="M279" s="5"/>
      <c r="N279" s="4"/>
      <c r="O279" s="5"/>
      <c r="P279" s="5"/>
      <c r="Q279" s="5"/>
    </row>
    <row r="280" spans="1:17">
      <c r="A280" s="12"/>
      <c r="B280" s="27"/>
      <c r="C280" s="3"/>
      <c r="D280" s="3"/>
      <c r="E280" s="2"/>
      <c r="F280" s="2"/>
      <c r="G280" s="2"/>
      <c r="H280" s="2"/>
      <c r="I280" s="2"/>
      <c r="J280" s="2"/>
      <c r="K280" s="3"/>
      <c r="L280" s="3"/>
      <c r="M280" s="3"/>
      <c r="N280" s="2"/>
      <c r="O280" s="3"/>
      <c r="P280" s="3"/>
      <c r="Q280" s="3"/>
    </row>
    <row r="281" spans="1:17">
      <c r="A281" s="14"/>
      <c r="B281" s="28"/>
      <c r="C281" s="5"/>
      <c r="D281" s="5"/>
      <c r="E281" s="4"/>
      <c r="F281" s="4"/>
      <c r="G281" s="4"/>
      <c r="H281" s="4"/>
      <c r="I281" s="4"/>
      <c r="J281" s="4"/>
      <c r="K281" s="5"/>
      <c r="L281" s="5"/>
      <c r="M281" s="5"/>
      <c r="N281" s="4"/>
      <c r="O281" s="5"/>
      <c r="P281" s="5"/>
      <c r="Q281" s="5"/>
    </row>
    <row r="282" spans="1:17" ht="14.45" thickBot="1">
      <c r="A282" s="14"/>
      <c r="B282" s="28"/>
      <c r="C282" s="5"/>
      <c r="D282" s="5"/>
      <c r="E282" s="4"/>
      <c r="F282" s="4"/>
      <c r="G282" s="4"/>
      <c r="H282" s="4"/>
      <c r="I282" s="4"/>
      <c r="J282" s="4"/>
      <c r="K282" s="5"/>
      <c r="L282" s="5"/>
      <c r="M282" s="5"/>
      <c r="N282" s="4"/>
      <c r="O282" s="5"/>
      <c r="P282" s="5"/>
      <c r="Q282" s="5"/>
    </row>
    <row r="283" spans="1:17">
      <c r="A283" s="12"/>
      <c r="B283" s="27"/>
      <c r="C283" s="3"/>
      <c r="D283" s="3"/>
      <c r="E283" s="2"/>
      <c r="F283" s="2"/>
      <c r="G283" s="2"/>
      <c r="H283" s="2"/>
      <c r="I283" s="2"/>
      <c r="J283" s="2"/>
      <c r="K283" s="3"/>
      <c r="L283" s="3"/>
      <c r="M283" s="3"/>
      <c r="N283" s="2"/>
      <c r="O283" s="3"/>
      <c r="P283" s="3"/>
      <c r="Q283" s="3"/>
    </row>
    <row r="284" spans="1:17">
      <c r="A284" s="14"/>
      <c r="B284" s="28"/>
      <c r="C284" s="5"/>
      <c r="D284" s="5"/>
      <c r="E284" s="4"/>
      <c r="F284" s="4"/>
      <c r="G284" s="4"/>
      <c r="H284" s="4"/>
      <c r="I284" s="4"/>
      <c r="J284" s="4"/>
      <c r="K284" s="5"/>
      <c r="L284" s="5"/>
      <c r="M284" s="5"/>
      <c r="N284" s="4"/>
      <c r="O284" s="5"/>
      <c r="P284" s="5"/>
      <c r="Q284" s="5"/>
    </row>
    <row r="285" spans="1:17">
      <c r="A285" s="14"/>
      <c r="B285" s="28"/>
      <c r="C285" s="5"/>
      <c r="D285" s="5"/>
      <c r="E285" s="4"/>
      <c r="F285" s="4"/>
      <c r="G285" s="4"/>
      <c r="H285" s="4"/>
      <c r="I285" s="4"/>
      <c r="J285" s="4"/>
      <c r="K285" s="5"/>
      <c r="L285" s="5"/>
      <c r="M285" s="5"/>
      <c r="N285" s="4"/>
      <c r="O285" s="5"/>
      <c r="P285" s="5"/>
      <c r="Q285" s="5"/>
    </row>
    <row r="286" spans="1:17">
      <c r="A286" s="14"/>
      <c r="B286" s="28"/>
      <c r="C286" s="5"/>
      <c r="D286" s="5"/>
      <c r="E286" s="4"/>
      <c r="F286" s="4"/>
      <c r="G286" s="4"/>
      <c r="H286" s="4"/>
      <c r="I286" s="4"/>
      <c r="J286" s="4"/>
      <c r="K286" s="5"/>
      <c r="L286" s="5"/>
      <c r="M286" s="5"/>
      <c r="N286" s="4"/>
      <c r="O286" s="5"/>
      <c r="P286" s="5"/>
      <c r="Q286" s="5"/>
    </row>
    <row r="287" spans="1:17">
      <c r="A287" s="14"/>
      <c r="B287" s="28"/>
      <c r="C287" s="5"/>
      <c r="D287" s="5"/>
      <c r="E287" s="4"/>
      <c r="F287" s="4"/>
      <c r="G287" s="4"/>
      <c r="H287" s="4"/>
      <c r="I287" s="4"/>
      <c r="J287" s="4"/>
      <c r="K287" s="5"/>
      <c r="L287" s="5"/>
      <c r="M287" s="5"/>
      <c r="N287" s="4"/>
      <c r="O287" s="5"/>
      <c r="P287" s="5"/>
      <c r="Q287" s="5"/>
    </row>
    <row r="288" spans="1:17">
      <c r="A288" s="14"/>
      <c r="B288" s="28"/>
      <c r="C288" s="5"/>
      <c r="D288" s="5"/>
      <c r="E288" s="4"/>
      <c r="F288" s="4"/>
      <c r="G288" s="4"/>
      <c r="H288" s="4"/>
      <c r="I288" s="4"/>
      <c r="J288" s="4"/>
      <c r="K288" s="5"/>
      <c r="L288" s="5"/>
      <c r="M288" s="5"/>
      <c r="N288" s="4"/>
      <c r="O288" s="5"/>
      <c r="P288" s="5"/>
      <c r="Q288" s="5"/>
    </row>
    <row r="289" spans="1:17" ht="14.45" thickBot="1">
      <c r="A289" s="14"/>
      <c r="B289" s="28"/>
      <c r="C289" s="5"/>
      <c r="D289" s="5"/>
      <c r="E289" s="4"/>
      <c r="F289" s="4"/>
      <c r="G289" s="4"/>
      <c r="H289" s="4"/>
      <c r="I289" s="4"/>
      <c r="J289" s="4"/>
      <c r="K289" s="5"/>
      <c r="L289" s="5"/>
      <c r="M289" s="5"/>
      <c r="N289" s="4"/>
      <c r="O289" s="5"/>
      <c r="P289" s="5"/>
      <c r="Q289" s="5"/>
    </row>
    <row r="290" spans="1:17">
      <c r="A290" s="12"/>
      <c r="B290" s="27"/>
      <c r="C290" s="3"/>
      <c r="D290" s="3"/>
      <c r="E290" s="2"/>
      <c r="F290" s="2"/>
      <c r="G290" s="2"/>
      <c r="H290" s="2"/>
      <c r="I290" s="2"/>
      <c r="J290" s="2"/>
      <c r="K290" s="3"/>
      <c r="L290" s="3"/>
      <c r="M290" s="3"/>
      <c r="N290" s="2"/>
      <c r="O290" s="3"/>
      <c r="P290" s="3"/>
      <c r="Q290" s="3"/>
    </row>
    <row r="291" spans="1:17">
      <c r="A291" s="14"/>
      <c r="B291" s="28"/>
      <c r="C291" s="5"/>
      <c r="D291" s="5"/>
      <c r="E291" s="4"/>
      <c r="F291" s="4"/>
      <c r="G291" s="4"/>
      <c r="H291" s="4"/>
      <c r="I291" s="4"/>
      <c r="J291" s="4"/>
      <c r="K291" s="5"/>
      <c r="L291" s="5"/>
      <c r="M291" s="5"/>
      <c r="N291" s="4"/>
      <c r="O291" s="5"/>
      <c r="P291" s="5"/>
      <c r="Q291" s="5"/>
    </row>
    <row r="292" spans="1:17">
      <c r="A292" s="14"/>
      <c r="B292" s="28"/>
      <c r="C292" s="5"/>
      <c r="D292" s="5"/>
      <c r="E292" s="4"/>
      <c r="F292" s="4"/>
      <c r="G292" s="4"/>
      <c r="H292" s="4"/>
      <c r="I292" s="4"/>
      <c r="J292" s="4"/>
      <c r="K292" s="5"/>
      <c r="L292" s="5"/>
      <c r="M292" s="5"/>
      <c r="N292" s="4"/>
      <c r="O292" s="5"/>
      <c r="P292" s="5"/>
      <c r="Q292" s="5"/>
    </row>
    <row r="293" spans="1:17" ht="14.45" thickBot="1">
      <c r="A293" s="14"/>
      <c r="B293" s="28"/>
      <c r="C293" s="5"/>
      <c r="D293" s="5"/>
      <c r="E293" s="4"/>
      <c r="F293" s="4"/>
      <c r="G293" s="4"/>
      <c r="H293" s="4"/>
      <c r="I293" s="4"/>
      <c r="J293" s="4"/>
      <c r="K293" s="5"/>
      <c r="L293" s="5"/>
      <c r="M293" s="5"/>
      <c r="N293" s="4"/>
      <c r="O293" s="5"/>
      <c r="P293" s="5"/>
      <c r="Q293" s="5"/>
    </row>
    <row r="294" spans="1:17">
      <c r="A294" s="12"/>
      <c r="B294" s="29"/>
      <c r="C294" s="3"/>
      <c r="D294" s="3"/>
      <c r="E294" s="2"/>
      <c r="F294" s="2"/>
      <c r="G294" s="2"/>
      <c r="H294" s="2"/>
      <c r="I294" s="2"/>
      <c r="J294" s="2"/>
      <c r="K294" s="3"/>
      <c r="L294" s="3"/>
      <c r="M294" s="3"/>
      <c r="N294" s="2"/>
      <c r="O294" s="3"/>
      <c r="P294" s="3"/>
      <c r="Q294" s="3"/>
    </row>
    <row r="295" spans="1:17">
      <c r="A295" s="14"/>
      <c r="B295" s="30"/>
      <c r="C295" s="5"/>
      <c r="D295" s="5"/>
      <c r="E295" s="4"/>
      <c r="F295" s="4"/>
      <c r="G295" s="4"/>
      <c r="H295" s="4"/>
      <c r="I295" s="4"/>
      <c r="J295" s="4"/>
      <c r="K295" s="5"/>
      <c r="L295" s="5"/>
      <c r="M295" s="5"/>
      <c r="N295" s="4"/>
      <c r="O295" s="5"/>
      <c r="P295" s="5"/>
      <c r="Q295" s="5"/>
    </row>
    <row r="296" spans="1:17">
      <c r="A296" s="14"/>
      <c r="B296" s="30"/>
      <c r="C296" s="5"/>
      <c r="D296" s="5"/>
      <c r="E296" s="4"/>
      <c r="F296" s="4"/>
      <c r="G296" s="4"/>
      <c r="H296" s="4"/>
      <c r="I296" s="4"/>
      <c r="J296" s="4"/>
      <c r="K296" s="5"/>
      <c r="L296" s="5"/>
      <c r="M296" s="5"/>
      <c r="N296" s="4"/>
      <c r="O296" s="5"/>
      <c r="P296" s="5"/>
      <c r="Q296" s="5"/>
    </row>
    <row r="297" spans="1:17">
      <c r="A297" s="14"/>
      <c r="B297" s="30"/>
      <c r="C297" s="5"/>
      <c r="D297" s="5"/>
      <c r="E297" s="4"/>
      <c r="F297" s="4"/>
      <c r="G297" s="4"/>
      <c r="H297" s="4"/>
      <c r="I297" s="4"/>
      <c r="J297" s="4"/>
      <c r="K297" s="5"/>
      <c r="L297" s="5"/>
      <c r="M297" s="5"/>
      <c r="N297" s="4"/>
      <c r="O297" s="5"/>
      <c r="P297" s="5"/>
      <c r="Q297" s="5"/>
    </row>
    <row r="298" spans="1:17">
      <c r="A298" s="14"/>
      <c r="B298" s="30"/>
      <c r="C298" s="5"/>
      <c r="D298" s="5"/>
      <c r="E298" s="4"/>
      <c r="F298" s="4"/>
      <c r="G298" s="4"/>
      <c r="H298" s="4"/>
      <c r="I298" s="4"/>
      <c r="J298" s="4"/>
      <c r="K298" s="5"/>
      <c r="L298" s="5"/>
      <c r="M298" s="5"/>
      <c r="N298" s="4"/>
      <c r="O298" s="5"/>
      <c r="P298" s="5"/>
      <c r="Q298" s="5"/>
    </row>
    <row r="299" spans="1:17" ht="14.45" thickBot="1">
      <c r="A299" s="14"/>
      <c r="B299" s="30"/>
      <c r="C299" s="5"/>
      <c r="D299" s="5"/>
      <c r="E299" s="4"/>
      <c r="F299" s="4"/>
      <c r="G299" s="4"/>
      <c r="H299" s="4"/>
      <c r="I299" s="4"/>
      <c r="J299" s="4"/>
      <c r="K299" s="5"/>
      <c r="L299" s="5"/>
      <c r="M299" s="5"/>
      <c r="N299" s="4"/>
      <c r="O299" s="5"/>
      <c r="P299" s="5"/>
      <c r="Q299" s="5"/>
    </row>
    <row r="300" spans="1:17">
      <c r="A300" s="12"/>
      <c r="B300" s="29"/>
      <c r="C300" s="3"/>
      <c r="D300" s="3"/>
      <c r="E300" s="2"/>
      <c r="F300" s="2"/>
      <c r="G300" s="2"/>
      <c r="H300" s="2"/>
      <c r="I300" s="2"/>
      <c r="J300" s="2"/>
      <c r="K300" s="3"/>
      <c r="L300" s="3"/>
      <c r="M300" s="3"/>
      <c r="N300" s="2"/>
      <c r="O300" s="3"/>
      <c r="P300" s="3"/>
      <c r="Q300" s="3"/>
    </row>
    <row r="301" spans="1:17">
      <c r="A301" s="14"/>
      <c r="B301" s="30"/>
      <c r="C301" s="5"/>
      <c r="D301" s="5"/>
      <c r="E301" s="4"/>
      <c r="F301" s="4"/>
      <c r="G301" s="4"/>
      <c r="H301" s="4"/>
      <c r="I301" s="4"/>
      <c r="J301" s="4"/>
      <c r="K301" s="5"/>
      <c r="L301" s="5"/>
      <c r="M301" s="5"/>
      <c r="N301" s="4"/>
      <c r="O301" s="5"/>
      <c r="P301" s="5"/>
      <c r="Q301" s="5"/>
    </row>
    <row r="302" spans="1:17">
      <c r="A302" s="14"/>
      <c r="B302" s="30"/>
      <c r="C302" s="5"/>
      <c r="D302" s="5"/>
      <c r="E302" s="4"/>
      <c r="F302" s="4"/>
      <c r="G302" s="4"/>
      <c r="H302" s="4"/>
      <c r="I302" s="4"/>
      <c r="J302" s="4"/>
      <c r="K302" s="5"/>
      <c r="L302" s="5"/>
      <c r="M302" s="5"/>
      <c r="N302" s="4"/>
      <c r="O302" s="5"/>
      <c r="P302" s="5"/>
      <c r="Q302" s="5"/>
    </row>
    <row r="303" spans="1:17">
      <c r="A303" s="14"/>
      <c r="B303" s="30"/>
      <c r="C303" s="5"/>
      <c r="D303" s="5"/>
      <c r="E303" s="4"/>
      <c r="F303" s="4"/>
      <c r="G303" s="4"/>
      <c r="H303" s="4"/>
      <c r="I303" s="4"/>
      <c r="J303" s="4"/>
      <c r="K303" s="5"/>
      <c r="L303" s="5"/>
      <c r="M303" s="5"/>
      <c r="N303" s="4"/>
      <c r="O303" s="5"/>
      <c r="P303" s="5"/>
      <c r="Q303" s="5"/>
    </row>
    <row r="304" spans="1:17" ht="14.45" thickBot="1">
      <c r="A304" s="14"/>
      <c r="B304" s="30"/>
      <c r="C304" s="5"/>
      <c r="D304" s="5"/>
      <c r="E304" s="4"/>
      <c r="F304" s="4"/>
      <c r="G304" s="4"/>
      <c r="H304" s="4"/>
      <c r="I304" s="4"/>
      <c r="J304" s="4"/>
      <c r="K304" s="5"/>
      <c r="L304" s="5"/>
      <c r="M304" s="5"/>
      <c r="N304" s="4"/>
      <c r="O304" s="5"/>
      <c r="P304" s="5"/>
      <c r="Q304" s="5"/>
    </row>
    <row r="305" spans="1:17">
      <c r="A305" s="12"/>
      <c r="B305" s="29"/>
      <c r="C305" s="3"/>
      <c r="D305" s="3"/>
      <c r="E305" s="2"/>
      <c r="F305" s="2"/>
      <c r="G305" s="2"/>
      <c r="H305" s="2"/>
      <c r="I305" s="2"/>
      <c r="J305" s="2"/>
      <c r="K305" s="3"/>
      <c r="L305" s="3"/>
      <c r="M305" s="3"/>
      <c r="N305" s="2"/>
      <c r="O305" s="3"/>
      <c r="P305" s="3"/>
      <c r="Q305" s="3"/>
    </row>
    <row r="306" spans="1:17">
      <c r="A306" s="14"/>
      <c r="B306" s="30"/>
      <c r="C306" s="5"/>
      <c r="D306" s="5"/>
      <c r="E306" s="4"/>
      <c r="F306" s="4"/>
      <c r="G306" s="4"/>
      <c r="H306" s="4"/>
      <c r="I306" s="4"/>
      <c r="J306" s="4"/>
      <c r="K306" s="5"/>
      <c r="L306" s="5"/>
      <c r="M306" s="5"/>
      <c r="N306" s="4"/>
      <c r="O306" s="5"/>
      <c r="P306" s="5"/>
      <c r="Q306" s="5"/>
    </row>
    <row r="307" spans="1:17">
      <c r="A307" s="14"/>
      <c r="B307" s="30"/>
      <c r="C307" s="5"/>
      <c r="D307" s="5"/>
      <c r="E307" s="4"/>
      <c r="F307" s="4"/>
      <c r="G307" s="4"/>
      <c r="H307" s="4"/>
      <c r="I307" s="4"/>
      <c r="J307" s="4"/>
      <c r="K307" s="5"/>
      <c r="L307" s="5"/>
      <c r="M307" s="5"/>
      <c r="N307" s="4"/>
      <c r="O307" s="5"/>
      <c r="P307" s="5"/>
      <c r="Q307" s="5"/>
    </row>
    <row r="308" spans="1:17">
      <c r="A308" s="14"/>
      <c r="B308" s="30"/>
      <c r="C308" s="5"/>
      <c r="D308" s="5"/>
      <c r="E308" s="4"/>
      <c r="F308" s="4"/>
      <c r="G308" s="4"/>
      <c r="H308" s="4"/>
      <c r="I308" s="4"/>
      <c r="J308" s="4"/>
      <c r="K308" s="5"/>
      <c r="L308" s="5"/>
      <c r="M308" s="5"/>
      <c r="N308" s="4"/>
      <c r="O308" s="5"/>
      <c r="P308" s="5"/>
      <c r="Q308" s="5"/>
    </row>
    <row r="309" spans="1:17" ht="14.45" thickBot="1">
      <c r="A309" s="14"/>
      <c r="B309" s="30"/>
      <c r="C309" s="5"/>
      <c r="D309" s="5"/>
      <c r="E309" s="4"/>
      <c r="F309" s="4"/>
      <c r="G309" s="4"/>
      <c r="H309" s="4"/>
      <c r="I309" s="4"/>
      <c r="J309" s="4"/>
      <c r="K309" s="5"/>
      <c r="L309" s="5"/>
      <c r="M309" s="5"/>
      <c r="N309" s="4"/>
      <c r="O309" s="5"/>
      <c r="P309" s="5"/>
      <c r="Q309" s="5"/>
    </row>
    <row r="310" spans="1:17">
      <c r="A310" s="12"/>
      <c r="B310" s="29"/>
      <c r="C310" s="3"/>
      <c r="D310" s="3"/>
      <c r="E310" s="2"/>
      <c r="F310" s="2"/>
      <c r="G310" s="2"/>
      <c r="H310" s="2"/>
      <c r="I310" s="2"/>
      <c r="J310" s="2"/>
      <c r="K310" s="3"/>
      <c r="L310" s="3"/>
      <c r="M310" s="3"/>
      <c r="N310" s="2"/>
      <c r="O310" s="3"/>
      <c r="P310" s="3"/>
      <c r="Q310" s="3"/>
    </row>
    <row r="311" spans="1:17">
      <c r="A311" s="14"/>
      <c r="B311" s="30"/>
      <c r="C311" s="5"/>
      <c r="D311" s="5"/>
      <c r="E311" s="4"/>
      <c r="F311" s="4"/>
      <c r="G311" s="4"/>
      <c r="H311" s="4"/>
      <c r="I311" s="4"/>
      <c r="J311" s="4"/>
      <c r="K311" s="5"/>
      <c r="L311" s="5"/>
      <c r="M311" s="5"/>
      <c r="N311" s="4"/>
      <c r="O311" s="5"/>
      <c r="P311" s="5"/>
      <c r="Q311" s="5"/>
    </row>
    <row r="312" spans="1:17">
      <c r="A312" s="14"/>
      <c r="B312" s="30"/>
      <c r="C312" s="5"/>
      <c r="D312" s="5"/>
      <c r="E312" s="4"/>
      <c r="F312" s="4"/>
      <c r="G312" s="4"/>
      <c r="H312" s="4"/>
      <c r="I312" s="4"/>
      <c r="J312" s="4"/>
      <c r="K312" s="5"/>
      <c r="L312" s="5"/>
      <c r="M312" s="5"/>
      <c r="N312" s="4"/>
      <c r="O312" s="5"/>
      <c r="P312" s="5"/>
      <c r="Q312" s="5"/>
    </row>
    <row r="313" spans="1:17">
      <c r="A313" s="14"/>
      <c r="B313" s="30"/>
      <c r="C313" s="5"/>
      <c r="D313" s="5"/>
      <c r="E313" s="4"/>
      <c r="F313" s="4"/>
      <c r="G313" s="4"/>
      <c r="H313" s="4"/>
      <c r="I313" s="4"/>
      <c r="J313" s="4"/>
      <c r="K313" s="5"/>
      <c r="L313" s="5"/>
      <c r="M313" s="5"/>
      <c r="N313" s="4"/>
      <c r="O313" s="5"/>
      <c r="P313" s="5"/>
      <c r="Q313" s="5"/>
    </row>
    <row r="314" spans="1:17">
      <c r="A314" s="14"/>
      <c r="B314" s="30"/>
      <c r="C314" s="5"/>
      <c r="D314" s="5"/>
      <c r="E314" s="4"/>
      <c r="F314" s="4"/>
      <c r="G314" s="4"/>
      <c r="H314" s="4"/>
      <c r="I314" s="4"/>
      <c r="J314" s="4"/>
      <c r="K314" s="5"/>
      <c r="L314" s="5"/>
      <c r="M314" s="5"/>
      <c r="N314" s="4"/>
      <c r="O314" s="5"/>
      <c r="P314" s="5"/>
      <c r="Q314" s="5"/>
    </row>
    <row r="315" spans="1:17">
      <c r="A315" s="14"/>
      <c r="B315" s="30"/>
      <c r="C315" s="5"/>
      <c r="D315" s="5"/>
      <c r="E315" s="4"/>
      <c r="F315" s="4"/>
      <c r="G315" s="4"/>
      <c r="H315" s="4"/>
      <c r="I315" s="4"/>
      <c r="J315" s="4"/>
      <c r="K315" s="5"/>
      <c r="L315" s="5"/>
      <c r="M315" s="5"/>
      <c r="N315" s="4"/>
      <c r="O315" s="5"/>
      <c r="P315" s="5"/>
      <c r="Q315" s="5"/>
    </row>
    <row r="316" spans="1:17" ht="14.45" thickBot="1">
      <c r="A316" s="14"/>
      <c r="B316" s="30"/>
      <c r="C316" s="5"/>
      <c r="D316" s="5"/>
      <c r="E316" s="4"/>
      <c r="F316" s="4"/>
      <c r="G316" s="4"/>
      <c r="H316" s="4"/>
      <c r="I316" s="4"/>
      <c r="J316" s="4"/>
      <c r="K316" s="5"/>
      <c r="L316" s="5"/>
      <c r="M316" s="5"/>
      <c r="N316" s="4"/>
      <c r="O316" s="5"/>
      <c r="P316" s="5"/>
      <c r="Q316" s="5"/>
    </row>
    <row r="317" spans="1:17">
      <c r="A317" s="12"/>
      <c r="B317" s="29"/>
      <c r="C317" s="3"/>
      <c r="D317" s="3"/>
      <c r="E317" s="2"/>
      <c r="F317" s="2"/>
      <c r="G317" s="2"/>
      <c r="H317" s="2"/>
      <c r="I317" s="2"/>
      <c r="J317" s="2"/>
      <c r="K317" s="3"/>
      <c r="L317" s="3"/>
      <c r="M317" s="3"/>
      <c r="N317" s="2"/>
      <c r="O317" s="3"/>
      <c r="P317" s="3"/>
      <c r="Q317" s="3"/>
    </row>
    <row r="318" spans="1:17">
      <c r="A318" s="14"/>
      <c r="B318" s="30"/>
      <c r="C318" s="5"/>
      <c r="D318" s="5"/>
      <c r="E318" s="4"/>
      <c r="F318" s="4"/>
      <c r="G318" s="4"/>
      <c r="H318" s="4"/>
      <c r="I318" s="4"/>
      <c r="J318" s="4"/>
      <c r="K318" s="5"/>
      <c r="L318" s="5"/>
      <c r="M318" s="5"/>
      <c r="N318" s="4"/>
      <c r="O318" s="5"/>
      <c r="P318" s="5"/>
      <c r="Q318" s="5"/>
    </row>
    <row r="319" spans="1:17" ht="14.45" thickBot="1">
      <c r="A319" s="14"/>
      <c r="B319" s="30"/>
      <c r="C319" s="5"/>
      <c r="D319" s="5"/>
      <c r="E319" s="4"/>
      <c r="F319" s="4"/>
      <c r="G319" s="4"/>
      <c r="H319" s="4"/>
      <c r="I319" s="4"/>
      <c r="J319" s="4"/>
      <c r="K319" s="5"/>
      <c r="L319" s="5"/>
      <c r="M319" s="5"/>
      <c r="N319" s="4"/>
      <c r="O319" s="5"/>
      <c r="P319" s="5"/>
      <c r="Q319" s="5"/>
    </row>
    <row r="320" spans="1:17">
      <c r="A320" s="12"/>
      <c r="B320" s="29"/>
      <c r="C320" s="3"/>
      <c r="D320" s="3"/>
      <c r="E320" s="2"/>
      <c r="F320" s="2"/>
      <c r="G320" s="2"/>
      <c r="H320" s="2"/>
      <c r="I320" s="2"/>
      <c r="J320" s="2"/>
      <c r="K320" s="3"/>
      <c r="L320" s="3"/>
      <c r="M320" s="3"/>
      <c r="N320" s="2"/>
      <c r="O320" s="3"/>
      <c r="P320" s="3"/>
      <c r="Q320" s="3"/>
    </row>
    <row r="321" spans="1:17">
      <c r="A321" s="14"/>
      <c r="B321" s="30"/>
      <c r="C321" s="5"/>
      <c r="D321" s="5"/>
      <c r="E321" s="4"/>
      <c r="F321" s="4"/>
      <c r="G321" s="4"/>
      <c r="H321" s="4"/>
      <c r="I321" s="4"/>
      <c r="J321" s="4"/>
      <c r="K321" s="5"/>
      <c r="L321" s="5"/>
      <c r="M321" s="5"/>
      <c r="N321" s="4"/>
      <c r="O321" s="5"/>
      <c r="P321" s="5"/>
      <c r="Q321" s="5"/>
    </row>
    <row r="322" spans="1:17">
      <c r="A322" s="14"/>
      <c r="B322" s="30"/>
      <c r="C322" s="5"/>
      <c r="D322" s="5"/>
      <c r="E322" s="4"/>
      <c r="F322" s="4"/>
      <c r="G322" s="4"/>
      <c r="H322" s="4"/>
      <c r="I322" s="4"/>
      <c r="J322" s="4"/>
      <c r="K322" s="5"/>
      <c r="L322" s="5"/>
      <c r="M322" s="5"/>
      <c r="N322" s="4"/>
      <c r="O322" s="5"/>
      <c r="P322" s="5"/>
      <c r="Q322" s="5"/>
    </row>
    <row r="323" spans="1:17">
      <c r="A323" s="14"/>
      <c r="B323" s="30"/>
      <c r="C323" s="5"/>
      <c r="D323" s="5"/>
      <c r="E323" s="4"/>
      <c r="F323" s="4"/>
      <c r="G323" s="4"/>
      <c r="H323" s="4"/>
      <c r="I323" s="4"/>
      <c r="J323" s="4"/>
      <c r="K323" s="5"/>
      <c r="L323" s="5"/>
      <c r="M323" s="5"/>
      <c r="N323" s="4"/>
      <c r="O323" s="5"/>
      <c r="P323" s="5"/>
      <c r="Q323" s="5"/>
    </row>
    <row r="324" spans="1:17">
      <c r="A324" s="14"/>
      <c r="B324" s="30"/>
      <c r="C324" s="5"/>
      <c r="D324" s="5"/>
      <c r="E324" s="4"/>
      <c r="F324" s="4"/>
      <c r="G324" s="4"/>
      <c r="H324" s="4"/>
      <c r="I324" s="4"/>
      <c r="J324" s="4"/>
      <c r="K324" s="5"/>
      <c r="L324" s="5"/>
      <c r="M324" s="5"/>
      <c r="N324" s="4"/>
      <c r="O324" s="5"/>
      <c r="P324" s="5"/>
      <c r="Q324" s="5"/>
    </row>
    <row r="325" spans="1:17">
      <c r="A325" s="14"/>
      <c r="B325" s="30"/>
      <c r="C325" s="5"/>
      <c r="D325" s="5"/>
      <c r="E325" s="4"/>
      <c r="F325" s="4"/>
      <c r="G325" s="4"/>
      <c r="H325" s="4"/>
      <c r="I325" s="4"/>
      <c r="J325" s="4"/>
      <c r="K325" s="5"/>
      <c r="L325" s="5"/>
      <c r="M325" s="5"/>
      <c r="N325" s="4"/>
      <c r="O325" s="5"/>
      <c r="P325" s="5"/>
      <c r="Q325" s="5"/>
    </row>
    <row r="326" spans="1:17">
      <c r="A326" s="14"/>
      <c r="B326" s="30"/>
      <c r="C326" s="5"/>
      <c r="D326" s="5"/>
      <c r="E326" s="4"/>
      <c r="F326" s="4"/>
      <c r="G326" s="4"/>
      <c r="H326" s="4"/>
      <c r="I326" s="4"/>
      <c r="J326" s="4"/>
      <c r="K326" s="5"/>
      <c r="L326" s="5"/>
      <c r="M326" s="5"/>
      <c r="N326" s="4"/>
      <c r="O326" s="5"/>
      <c r="P326" s="5"/>
      <c r="Q326" s="5"/>
    </row>
    <row r="327" spans="1:17" ht="14.45" thickBot="1">
      <c r="A327" s="14"/>
      <c r="B327" s="30"/>
      <c r="C327" s="5"/>
      <c r="D327" s="5"/>
      <c r="E327" s="4"/>
      <c r="F327" s="4"/>
      <c r="G327" s="4"/>
      <c r="H327" s="4"/>
      <c r="I327" s="4"/>
      <c r="J327" s="4"/>
      <c r="K327" s="5"/>
      <c r="L327" s="5"/>
      <c r="M327" s="5"/>
      <c r="N327" s="4"/>
      <c r="O327" s="5"/>
      <c r="P327" s="5"/>
      <c r="Q327" s="5"/>
    </row>
    <row r="328" spans="1:17">
      <c r="A328" s="12"/>
      <c r="B328" s="29"/>
      <c r="C328" s="3"/>
      <c r="D328" s="3"/>
      <c r="E328" s="2"/>
      <c r="F328" s="2"/>
      <c r="G328" s="2"/>
      <c r="H328" s="2"/>
      <c r="I328" s="2"/>
      <c r="J328" s="2"/>
      <c r="K328" s="3"/>
      <c r="L328" s="3"/>
      <c r="M328" s="3"/>
      <c r="N328" s="2"/>
      <c r="O328" s="3"/>
      <c r="P328" s="3"/>
      <c r="Q328" s="3"/>
    </row>
    <row r="329" spans="1:17" ht="14.45" thickBot="1">
      <c r="A329" s="14"/>
      <c r="B329" s="30"/>
      <c r="C329" s="5"/>
      <c r="D329" s="5"/>
      <c r="E329" s="4"/>
      <c r="F329" s="4"/>
      <c r="G329" s="4"/>
      <c r="H329" s="4"/>
      <c r="I329" s="4"/>
      <c r="J329" s="4"/>
      <c r="K329" s="5"/>
      <c r="L329" s="5"/>
      <c r="M329" s="5"/>
      <c r="N329" s="4"/>
      <c r="O329" s="5"/>
      <c r="P329" s="5"/>
      <c r="Q329" s="5"/>
    </row>
    <row r="330" spans="1:17">
      <c r="A330" s="12"/>
      <c r="B330" s="29"/>
      <c r="C330" s="3"/>
      <c r="D330" s="3"/>
      <c r="E330" s="2"/>
      <c r="F330" s="2"/>
      <c r="G330" s="2"/>
      <c r="H330" s="2"/>
      <c r="I330" s="2"/>
      <c r="J330" s="2"/>
      <c r="K330" s="3"/>
      <c r="L330" s="3"/>
      <c r="M330" s="3"/>
      <c r="N330" s="2"/>
      <c r="O330" s="3"/>
      <c r="P330" s="3"/>
      <c r="Q330" s="3"/>
    </row>
    <row r="331" spans="1:17">
      <c r="A331" s="14"/>
      <c r="B331" s="30"/>
      <c r="C331" s="5"/>
      <c r="D331" s="5"/>
      <c r="E331" s="4"/>
      <c r="F331" s="4"/>
      <c r="G331" s="4"/>
      <c r="H331" s="4"/>
      <c r="I331" s="4"/>
      <c r="J331" s="4"/>
      <c r="K331" s="5"/>
      <c r="L331" s="5"/>
      <c r="M331" s="5"/>
      <c r="N331" s="4"/>
      <c r="O331" s="5"/>
      <c r="P331" s="5"/>
      <c r="Q331" s="5"/>
    </row>
    <row r="332" spans="1:17">
      <c r="A332" s="14"/>
      <c r="B332" s="30"/>
      <c r="C332" s="5"/>
      <c r="D332" s="5"/>
      <c r="E332" s="4"/>
      <c r="F332" s="4"/>
      <c r="G332" s="4"/>
      <c r="H332" s="4"/>
      <c r="I332" s="4"/>
      <c r="J332" s="4"/>
      <c r="K332" s="5"/>
      <c r="L332" s="5"/>
      <c r="M332" s="5"/>
      <c r="N332" s="4"/>
      <c r="O332" s="5"/>
      <c r="P332" s="5"/>
      <c r="Q332" s="5"/>
    </row>
    <row r="333" spans="1:17">
      <c r="A333" s="14"/>
      <c r="B333" s="30"/>
      <c r="C333" s="5"/>
      <c r="D333" s="5"/>
      <c r="E333" s="4"/>
      <c r="F333" s="4"/>
      <c r="G333" s="4"/>
      <c r="H333" s="4"/>
      <c r="I333" s="4"/>
      <c r="J333" s="4"/>
      <c r="K333" s="5"/>
      <c r="L333" s="5"/>
      <c r="M333" s="5"/>
      <c r="N333" s="4"/>
      <c r="O333" s="5"/>
      <c r="P333" s="5"/>
      <c r="Q333" s="5"/>
    </row>
    <row r="334" spans="1:17">
      <c r="A334" s="14"/>
      <c r="B334" s="30"/>
      <c r="C334" s="5"/>
      <c r="D334" s="5"/>
      <c r="E334" s="4"/>
      <c r="F334" s="4"/>
      <c r="G334" s="4"/>
      <c r="H334" s="4"/>
      <c r="I334" s="4"/>
      <c r="J334" s="4"/>
      <c r="K334" s="5"/>
      <c r="L334" s="5"/>
      <c r="M334" s="5"/>
      <c r="N334" s="4"/>
      <c r="O334" s="5"/>
      <c r="P334" s="5"/>
      <c r="Q334" s="5"/>
    </row>
    <row r="335" spans="1:17">
      <c r="A335" s="14"/>
      <c r="B335" s="30"/>
      <c r="C335" s="5"/>
      <c r="D335" s="5"/>
      <c r="E335" s="4"/>
      <c r="F335" s="4"/>
      <c r="G335" s="4"/>
      <c r="H335" s="4"/>
      <c r="I335" s="4"/>
      <c r="J335" s="4"/>
      <c r="K335" s="5"/>
      <c r="L335" s="5"/>
      <c r="M335" s="5"/>
      <c r="N335" s="4"/>
      <c r="O335" s="5"/>
      <c r="P335" s="5"/>
      <c r="Q335" s="5"/>
    </row>
    <row r="336" spans="1:17">
      <c r="A336" s="14"/>
      <c r="B336" s="30"/>
      <c r="C336" s="5"/>
      <c r="D336" s="5"/>
      <c r="E336" s="4"/>
      <c r="F336" s="4"/>
      <c r="G336" s="4"/>
      <c r="H336" s="4"/>
      <c r="I336" s="4"/>
      <c r="J336" s="4"/>
      <c r="K336" s="5"/>
      <c r="L336" s="5"/>
      <c r="M336" s="5"/>
      <c r="N336" s="4"/>
      <c r="O336" s="5"/>
      <c r="P336" s="5"/>
      <c r="Q336" s="5"/>
    </row>
    <row r="337" spans="1:17">
      <c r="A337" s="14"/>
      <c r="B337" s="30"/>
      <c r="C337" s="5"/>
      <c r="D337" s="5"/>
      <c r="E337" s="4"/>
      <c r="F337" s="4"/>
      <c r="G337" s="4"/>
      <c r="H337" s="4"/>
      <c r="I337" s="4"/>
      <c r="J337" s="4"/>
      <c r="K337" s="5"/>
      <c r="L337" s="5"/>
      <c r="M337" s="5"/>
      <c r="N337" s="4"/>
      <c r="O337" s="5"/>
      <c r="P337" s="5"/>
      <c r="Q337" s="5"/>
    </row>
    <row r="338" spans="1:17" ht="14.45" thickBot="1">
      <c r="A338" s="14"/>
      <c r="B338" s="30"/>
      <c r="C338" s="5"/>
      <c r="D338" s="5"/>
      <c r="E338" s="4"/>
      <c r="F338" s="4"/>
      <c r="G338" s="4"/>
      <c r="H338" s="4"/>
      <c r="I338" s="4"/>
      <c r="J338" s="4"/>
      <c r="K338" s="5"/>
      <c r="L338" s="5"/>
      <c r="M338" s="5"/>
      <c r="N338" s="4"/>
      <c r="O338" s="5"/>
      <c r="P338" s="5"/>
      <c r="Q338" s="5"/>
    </row>
    <row r="339" spans="1:17" ht="14.45" thickBot="1">
      <c r="A339" s="31"/>
      <c r="B339" s="32"/>
      <c r="C339" s="7"/>
      <c r="D339" s="7"/>
      <c r="E339" s="6"/>
      <c r="F339" s="6"/>
      <c r="G339" s="6"/>
      <c r="H339" s="6"/>
      <c r="I339" s="6"/>
      <c r="J339" s="6"/>
      <c r="K339" s="7"/>
      <c r="L339" s="7"/>
      <c r="M339" s="7"/>
      <c r="N339" s="6"/>
      <c r="O339" s="7"/>
      <c r="P339" s="7"/>
      <c r="Q339" s="7"/>
    </row>
    <row r="340" spans="1:17">
      <c r="A340" s="14"/>
      <c r="B340" s="33"/>
      <c r="C340" s="5"/>
      <c r="D340" s="5"/>
      <c r="E340" s="4"/>
      <c r="F340" s="4"/>
      <c r="G340" s="4"/>
      <c r="H340" s="4"/>
      <c r="I340" s="4"/>
      <c r="J340" s="4"/>
      <c r="K340" s="5"/>
      <c r="L340" s="5"/>
      <c r="M340" s="5"/>
      <c r="N340" s="4"/>
      <c r="O340" s="5"/>
      <c r="P340" s="5"/>
      <c r="Q340" s="5"/>
    </row>
    <row r="341" spans="1:17">
      <c r="A341" s="14"/>
      <c r="B341" s="33"/>
      <c r="C341" s="5"/>
      <c r="D341" s="5"/>
      <c r="E341" s="4"/>
      <c r="F341" s="4"/>
      <c r="G341" s="4"/>
      <c r="H341" s="4"/>
      <c r="I341" s="4"/>
      <c r="J341" s="4"/>
      <c r="K341" s="5"/>
      <c r="L341" s="5"/>
      <c r="M341" s="5"/>
      <c r="N341" s="4"/>
      <c r="O341" s="5"/>
      <c r="P341" s="5"/>
      <c r="Q341" s="5"/>
    </row>
    <row r="342" spans="1:17">
      <c r="A342" s="14"/>
      <c r="B342" s="33"/>
      <c r="C342" s="5"/>
      <c r="D342" s="5"/>
      <c r="E342" s="4"/>
      <c r="F342" s="4"/>
      <c r="G342" s="4"/>
      <c r="H342" s="4"/>
      <c r="I342" s="4"/>
      <c r="J342" s="4"/>
      <c r="K342" s="5"/>
      <c r="L342" s="5"/>
      <c r="M342" s="5"/>
      <c r="N342" s="4"/>
      <c r="O342" s="5"/>
      <c r="P342" s="5"/>
      <c r="Q342" s="5"/>
    </row>
    <row r="343" spans="1:17">
      <c r="A343" s="14"/>
      <c r="B343" s="33"/>
      <c r="C343" s="5"/>
      <c r="D343" s="5"/>
      <c r="E343" s="4"/>
      <c r="F343" s="4"/>
      <c r="G343" s="4"/>
      <c r="H343" s="4"/>
      <c r="I343" s="4"/>
      <c r="J343" s="4"/>
      <c r="K343" s="5"/>
      <c r="L343" s="5"/>
      <c r="M343" s="5"/>
      <c r="N343" s="4"/>
      <c r="O343" s="5"/>
      <c r="P343" s="5"/>
      <c r="Q343" s="5"/>
    </row>
    <row r="344" spans="1:17">
      <c r="A344" s="14"/>
      <c r="B344" s="33"/>
      <c r="C344" s="5"/>
      <c r="D344" s="5"/>
      <c r="E344" s="4"/>
      <c r="F344" s="4"/>
      <c r="G344" s="4"/>
      <c r="H344" s="4"/>
      <c r="I344" s="4"/>
      <c r="J344" s="4"/>
      <c r="K344" s="5"/>
      <c r="L344" s="5"/>
      <c r="M344" s="5"/>
      <c r="N344" s="4"/>
      <c r="O344" s="5"/>
      <c r="P344" s="5"/>
      <c r="Q344" s="5"/>
    </row>
    <row r="345" spans="1:17">
      <c r="A345" s="14"/>
      <c r="B345" s="33"/>
      <c r="C345" s="5"/>
      <c r="D345" s="5"/>
      <c r="E345" s="4"/>
      <c r="F345" s="4"/>
      <c r="G345" s="4"/>
      <c r="H345" s="4"/>
      <c r="I345" s="4"/>
      <c r="J345" s="4"/>
      <c r="K345" s="5"/>
      <c r="L345" s="5"/>
      <c r="M345" s="5"/>
      <c r="N345" s="4"/>
      <c r="O345" s="5"/>
      <c r="P345" s="5"/>
      <c r="Q345" s="5"/>
    </row>
    <row r="346" spans="1:17">
      <c r="A346" s="14"/>
      <c r="B346" s="33"/>
      <c r="C346" s="5"/>
      <c r="D346" s="5"/>
      <c r="E346" s="4"/>
      <c r="F346" s="4"/>
      <c r="G346" s="4"/>
      <c r="H346" s="4"/>
      <c r="I346" s="4"/>
      <c r="J346" s="4"/>
      <c r="K346" s="5"/>
      <c r="L346" s="5"/>
      <c r="M346" s="5"/>
      <c r="N346" s="4"/>
      <c r="O346" s="5"/>
      <c r="P346" s="5"/>
      <c r="Q346" s="5"/>
    </row>
    <row r="347" spans="1:17">
      <c r="A347" s="14"/>
      <c r="B347" s="33"/>
      <c r="C347" s="5"/>
      <c r="D347" s="5"/>
      <c r="E347" s="4"/>
      <c r="F347" s="4"/>
      <c r="G347" s="4"/>
      <c r="H347" s="4"/>
      <c r="I347" s="4"/>
      <c r="J347" s="4"/>
      <c r="K347" s="5"/>
      <c r="L347" s="5"/>
      <c r="M347" s="5"/>
      <c r="N347" s="4"/>
      <c r="O347" s="5"/>
      <c r="P347" s="5"/>
      <c r="Q347" s="5"/>
    </row>
    <row r="348" spans="1:17">
      <c r="A348" s="14"/>
      <c r="B348" s="33"/>
      <c r="C348" s="5"/>
      <c r="D348" s="5"/>
      <c r="E348" s="4"/>
      <c r="F348" s="4"/>
      <c r="G348" s="4"/>
      <c r="H348" s="4"/>
      <c r="I348" s="4"/>
      <c r="J348" s="4"/>
      <c r="K348" s="5"/>
      <c r="L348" s="5"/>
      <c r="M348" s="5"/>
      <c r="N348" s="4"/>
      <c r="O348" s="5"/>
      <c r="P348" s="5"/>
      <c r="Q348" s="5"/>
    </row>
    <row r="349" spans="1:17">
      <c r="A349" s="14"/>
      <c r="B349" s="33"/>
      <c r="C349" s="5"/>
      <c r="D349" s="5"/>
      <c r="E349" s="4"/>
      <c r="F349" s="4"/>
      <c r="G349" s="4"/>
      <c r="H349" s="4"/>
      <c r="I349" s="4"/>
      <c r="J349" s="4"/>
      <c r="K349" s="5"/>
      <c r="L349" s="5"/>
      <c r="M349" s="5"/>
      <c r="N349" s="4"/>
      <c r="O349" s="5"/>
      <c r="P349" s="5"/>
      <c r="Q349" s="5"/>
    </row>
  </sheetData>
  <conditionalFormatting sqref="D90:D349">
    <cfRule type="colorScale" priority="1">
      <colorScale>
        <cfvo type="min"/>
        <cfvo type="percentile" val="50"/>
        <cfvo type="max"/>
        <color rgb="FFE2F0D9"/>
        <color rgb="FFFFF2CC"/>
        <color rgb="FFF4CCCC"/>
      </colorScale>
    </cfRule>
  </conditionalFormatting>
  <dataValidations count="1">
    <dataValidation type="list" sqref="L90:L401" xr:uid="{C408FCB1-52D2-4F95-8B5E-501220AF5EBF}">
      <formula1>"Active,Retired,Draft"</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961F3-765C-4C51-B54B-0FE383C70EB0}">
  <dimension ref="A1:C28"/>
  <sheetViews>
    <sheetView showGridLines="0" zoomScale="80" zoomScaleNormal="80" workbookViewId="0">
      <selection activeCell="A3" sqref="A3:B23"/>
    </sheetView>
  </sheetViews>
  <sheetFormatPr defaultRowHeight="14.1"/>
  <cols>
    <col min="1" max="1" width="67" bestFit="1" customWidth="1"/>
    <col min="2" max="2" width="37.125" bestFit="1" customWidth="1"/>
    <col min="3" max="3" width="15.125" bestFit="1" customWidth="1"/>
  </cols>
  <sheetData>
    <row r="1" spans="1:3" ht="18.600000000000001" thickBot="1">
      <c r="A1" s="35" t="s">
        <v>439</v>
      </c>
      <c r="B1" s="35"/>
      <c r="C1" s="35"/>
    </row>
    <row r="2" spans="1:3" ht="14.45" thickTop="1">
      <c r="A2" t="s">
        <v>440</v>
      </c>
    </row>
    <row r="3" spans="1:3" ht="14.45" thickBot="1">
      <c r="A3" s="36" t="s">
        <v>1</v>
      </c>
      <c r="B3" s="36" t="s">
        <v>441</v>
      </c>
      <c r="C3" s="36" t="s">
        <v>442</v>
      </c>
    </row>
    <row r="4" spans="1:3">
      <c r="A4" t="s">
        <v>18</v>
      </c>
      <c r="B4" t="s">
        <v>27</v>
      </c>
      <c r="C4">
        <f>COUNTIF('AI BI Genie Assessment'!$B$2:$B$101,A4)</f>
        <v>10</v>
      </c>
    </row>
    <row r="5" spans="1:3">
      <c r="A5" t="s">
        <v>60</v>
      </c>
      <c r="B5" t="s">
        <v>67</v>
      </c>
      <c r="C5">
        <f>COUNTIF('AI BI Genie Assessment'!$B$2:$B$101,A5)</f>
        <v>10</v>
      </c>
    </row>
    <row r="6" spans="1:3">
      <c r="A6" t="s">
        <v>91</v>
      </c>
      <c r="B6" t="s">
        <v>97</v>
      </c>
      <c r="C6">
        <f>COUNTIF('AI BI Genie Assessment'!$B$2:$B$101,A6)</f>
        <v>10</v>
      </c>
    </row>
    <row r="7" spans="1:3">
      <c r="A7" t="s">
        <v>120</v>
      </c>
      <c r="B7" t="s">
        <v>127</v>
      </c>
      <c r="C7">
        <f>COUNTIF('AI BI Genie Assessment'!$B$2:$B$101,A7)</f>
        <v>10</v>
      </c>
    </row>
    <row r="8" spans="1:3">
      <c r="A8" t="s">
        <v>150</v>
      </c>
      <c r="B8" t="s">
        <v>156</v>
      </c>
      <c r="C8">
        <f>COUNTIF('AI BI Genie Assessment'!$B$2:$B$101,A8)</f>
        <v>10</v>
      </c>
    </row>
    <row r="9" spans="1:3">
      <c r="A9" t="s">
        <v>179</v>
      </c>
      <c r="B9" t="s">
        <v>185</v>
      </c>
      <c r="C9">
        <f>COUNTIF('AI BI Genie Assessment'!$B$2:$B$101,A9)</f>
        <v>10</v>
      </c>
    </row>
    <row r="10" spans="1:3">
      <c r="A10" t="s">
        <v>207</v>
      </c>
      <c r="B10" t="s">
        <v>213</v>
      </c>
      <c r="C10">
        <f>COUNTIF('AI BI Genie Assessment'!$B$2:$B$101,A10)</f>
        <v>10</v>
      </c>
    </row>
    <row r="11" spans="1:3">
      <c r="A11" t="s">
        <v>235</v>
      </c>
      <c r="B11" t="s">
        <v>241</v>
      </c>
      <c r="C11">
        <f>COUNTIF('AI BI Genie Assessment'!$B$2:$B$101,A11)</f>
        <v>10</v>
      </c>
    </row>
    <row r="12" spans="1:3">
      <c r="A12" t="s">
        <v>263</v>
      </c>
      <c r="B12" t="s">
        <v>269</v>
      </c>
      <c r="C12">
        <f>COUNTIF('AI BI Genie Assessment'!$B$2:$B$101,A12)</f>
        <v>10</v>
      </c>
    </row>
    <row r="13" spans="1:3">
      <c r="A13" t="s">
        <v>291</v>
      </c>
      <c r="B13" t="s">
        <v>297</v>
      </c>
      <c r="C13">
        <f>COUNTIF('AI BI Genie Assessment'!$B$2:$B$101,A13)</f>
        <v>10</v>
      </c>
    </row>
    <row r="14" spans="1:3" ht="14.45" thickBot="1">
      <c r="A14" s="37" t="s">
        <v>443</v>
      </c>
      <c r="B14" s="37"/>
      <c r="C14" s="37">
        <f>SUM(C4:C13)</f>
        <v>100</v>
      </c>
    </row>
    <row r="16" spans="1:3">
      <c r="A16" s="38" t="s">
        <v>444</v>
      </c>
      <c r="B16" s="38" t="s">
        <v>11</v>
      </c>
    </row>
    <row r="17" spans="1:2">
      <c r="A17" t="s">
        <v>445</v>
      </c>
      <c r="B17" t="str">
        <f>IF(COUNTA('AI BI Genie Assessment'!$A$2:$A$101)=COUNTA(_xlfn.UNIQUE('AI BI Genie Assessment'!$A$2:$A$101)),"PASS — all IDs unique","FAIL — duplicate IDs")</f>
        <v>PASS — all IDs unique</v>
      </c>
    </row>
    <row r="18" spans="1:2">
      <c r="A18" t="s">
        <v>446</v>
      </c>
      <c r="B18" t="str">
        <f>IF(COUNTBLANK('AI BI Genie Assessment'!$A$2:$Q$101)=0,"PASS — 0 blanks","FAIL — "&amp;COUNTBLANK('AI BI Genie Assessment'!$A$2:$Q$101)&amp;" blank cells")</f>
        <v>PASS — 0 blanks</v>
      </c>
    </row>
    <row r="19" spans="1:2">
      <c r="A19" t="s">
        <v>447</v>
      </c>
      <c r="B19" t="str">
        <f>IF(COUNTIFS('AI BI Genie Assessment'!$C$2:$C$101,"Objective Question",'AI BI Genie Assessment'!$F$2:$F$101,"Correct answer: ?*")=COUNTIF('AI BI Genie Assessment'!$C$2:$C$101,"Objective Question"),"PASS — all keys present","FAIL — missing answer key")</f>
        <v>PASS — all keys present</v>
      </c>
    </row>
    <row r="20" spans="1:2">
      <c r="A20" t="s">
        <v>448</v>
      </c>
      <c r="B20" t="str">
        <f>IF(COUNTBLANK('AI BI Genie Assessment'!$P$2:$P$101)=0,"PASS — all populated","FAIL — missing mode")</f>
        <v>PASS — all populated</v>
      </c>
    </row>
    <row r="21" spans="1:2">
      <c r="A21" t="s">
        <v>449</v>
      </c>
      <c r="B21" t="str" cm="1">
        <f t="array" ref="B21">_xlfn.LET(_xlpm.q,_xlfn._xlws.FILTER('AI BI Genie Assessment'!$E$2:$E$101,'AI BI Genie Assessment'!$C$2:$C$101="Objective Question"),_xlpm.k,_xlfn._xlws.FILTER('AI BI Genie Assessment'!$F$2:$F$101,'AI BI Genie Assessment'!$C$2:$C$101="Objective Question"),_xlpm.bad,SUM(_xlfn.MAP(_xlpm.q,_xlpm.k,_xlfn.LAMBDA(_xlpm.x,_xlpm.y,_xlfn.LET(_xlpm.a,LEN(_xlfn.TEXTBEFORE(_xlfn.TEXTAFTER(_xlpm.x,"• A) "),CHAR(10)&amp;"• B)")),_xlpm.b,LEN(_xlfn.TEXTBEFORE(_xlfn.TEXTAFTER(_xlpm.x,"• B) "),CHAR(10)&amp;"• C)")),_xlpm.c,LEN(_xlfn.TEXTBEFORE(_xlfn.TEXTAFTER(_xlpm.x,"• C) "),CHAR(10)&amp;"• D)")),_xlpm.d,LEN(_xlfn.TEXTAFTER(_xlpm.x,"• D) ")),_xlpm.key,UPPER(_xlfn.TEXTBEFORE(_xlfn.TEXTAFTER(_xlpm.y,"Correct answer: "),";")),_xlpm.cl,CHOOSE(_xlfn.XMATCH(_xlpm.key,{"A","B","C","D"}),_xlpm.a,_xlpm.b,_xlpm.c,_xlpm.d),--(_xlpm.cl=MAX(_xlpm.a,_xlpm.b,_xlpm.c,_xlpm.d)))))),IF(_xlpm.bad=0,"PASS — correct answer never longest","FAIL — "&amp;_xlpm.bad&amp;" violation(s)"))</f>
        <v>PASS — correct answer never longest</v>
      </c>
    </row>
    <row r="22" spans="1:2">
      <c r="A22" t="s">
        <v>450</v>
      </c>
      <c r="B22" t="str">
        <f>IF(COUNTIF('AI BI Genie Assessment'!$C$2:$C$101,"Objective Question")&gt;=60,"PASS — "&amp;COUNTIF('AI BI Genie Assessment'!$C$2:$C$101,"Objective Question")&amp;" objective questions","FAIL — only "&amp;COUNTIF('AI BI Genie Assessment'!$C$2:$C$101,"Objective Question")&amp;" objective questions")</f>
        <v>PASS — 60 objective questions</v>
      </c>
    </row>
    <row r="27" spans="1:2" ht="14.45" thickBot="1">
      <c r="A27" s="8"/>
      <c r="B27" s="10"/>
    </row>
    <row r="28" spans="1:2" ht="15" thickTop="1" thickBot="1">
      <c r="A28" s="9"/>
      <c r="B28" s="1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Love Mendiratta</dc:creator>
  <cp:keywords/>
  <dc:description/>
  <cp:lastModifiedBy>Guest User</cp:lastModifiedBy>
  <cp:revision/>
  <dcterms:created xsi:type="dcterms:W3CDTF">2026-08-29T19:59:35Z</dcterms:created>
  <dcterms:modified xsi:type="dcterms:W3CDTF">2026-09-21T06:07:55Z</dcterms:modified>
  <cp:category/>
  <cp:contentStatus/>
</cp:coreProperties>
</file>